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rivers" sheetId="2" state="visible" r:id="rId2"/>
    <sheet name="Historical" sheetId="3" state="visible" r:id="rId3"/>
    <sheet name="Quarterly" sheetId="4" state="visible" r:id="rId4"/>
    <sheet name="Annual" sheetId="5" state="visible" r:id="rId5"/>
    <sheet name="FCF_Quality" sheetId="6" state="visible" r:id="rId6"/>
    <sheet name="Valuation" sheetId="7" state="visible" r:id="rId7"/>
    <sheet name="Bridge" sheetId="8" state="visible" r:id="rId8"/>
    <sheet name="Sensitivity" sheetId="9" state="visible" r:id="rId9"/>
    <sheet name="Checks" sheetId="10" state="visible" r:id="rId10"/>
    <sheet name="Sources" sheetId="11" state="visible" r:id="rId11"/>
  </sheets>
  <definedNames>
    <definedName name="Scenario">Drivers!$C$4</definedName>
    <definedName name="_xlnm.Print_Area" localSheetId="0">'Summary'!$A$1:$H$60</definedName>
    <definedName name="_xlnm.Print_Area" localSheetId="1">'Drivers'!$A$1:$M$269</definedName>
    <definedName name="_xlnm.Print_Area" localSheetId="2">'Historical'!$A$1:$O$86</definedName>
    <definedName name="_xlnm.Print_Area" localSheetId="3">'Quarterly'!$A$1:$L$94</definedName>
    <definedName name="_xlnm.Print_Area" localSheetId="4">'Annual'!$A$1:$J$88</definedName>
    <definedName name="_xlnm.Print_Area" localSheetId="5">'FCF_Quality'!$A$1:$J$57</definedName>
    <definedName name="_xlnm.Print_Area" localSheetId="6">'Valuation'!$A$1:$H$102</definedName>
    <definedName name="_xlnm.Print_Area" localSheetId="7">'Bridge'!$A$1:$G$52</definedName>
    <definedName name="_xlnm.Print_Area" localSheetId="8">'Sensitivity'!$A$1:$H$36</definedName>
    <definedName name="_xlnm.Print_Area" localSheetId="9">'Checks'!$A$1:$F$101</definedName>
    <definedName name="_xlnm.Print_Area" localSheetId="10">'Sources'!$A$1:$D$32</definedName>
  </definedNames>
  <calcPr calcId="124519" fullCalcOnLoad="1"/>
</workbook>
</file>

<file path=xl/styles.xml><?xml version="1.0" encoding="utf-8"?>
<styleSheet xmlns="http://schemas.openxmlformats.org/spreadsheetml/2006/main">
  <numFmts count="11">
    <numFmt numFmtId="164" formatCode="#,##0.0;(#,##0.0);&quot;-&quot;"/>
    <numFmt numFmtId="165" formatCode="$#,##0.00;($#,##0.00)"/>
    <numFmt numFmtId="166" formatCode="0.000"/>
    <numFmt numFmtId="167" formatCode="#,##0;(#,##0);&quot;-&quot;"/>
    <numFmt numFmtId="168" formatCode="0.0%;(0.0%);&quot;-&quot;"/>
    <numFmt numFmtId="169" formatCode="0.0000"/>
    <numFmt numFmtId="170" formatCode="0.000%"/>
    <numFmt numFmtId="171" formatCode="0.0&quot;x&quot;"/>
    <numFmt numFmtId="172" formatCode="0.00&quot;x&quot;"/>
    <numFmt numFmtId="173" formatCode="$0.00;($0.00)"/>
    <numFmt numFmtId="174" formatCode="0.0"/>
  </numFmts>
  <fonts count="18">
    <font>
      <name val="Calibri"/>
      <family val="2"/>
      <color theme="1"/>
      <sz val="11"/>
      <scheme val="minor"/>
    </font>
    <font>
      <name val="Calibri"/>
      <b val="1"/>
      <color rgb="001F3864"/>
      <sz val="14"/>
    </font>
    <font>
      <name val="Calibri"/>
      <i val="1"/>
      <color rgb="00595959"/>
      <sz val="9"/>
    </font>
    <font>
      <name val="Calibri"/>
      <b val="1"/>
      <color rgb="00FFFFFF"/>
      <sz val="10"/>
    </font>
    <font>
      <name val="Calibri"/>
      <b val="1"/>
      <color rgb="001F3864"/>
      <sz val="10"/>
    </font>
    <font>
      <name val="Calibri"/>
      <color rgb="00000000"/>
      <sz val="10"/>
    </font>
    <font>
      <name val="Calibri"/>
      <color rgb="000000FF"/>
      <sz val="10"/>
    </font>
    <font>
      <name val="Calibri"/>
      <i val="1"/>
      <color rgb="00595959"/>
      <sz val="8"/>
    </font>
    <font>
      <name val="Calibri"/>
      <b val="1"/>
      <color rgb="00000000"/>
      <sz val="10"/>
    </font>
    <font>
      <name val="Calibri"/>
      <b val="1"/>
      <color rgb="000000FF"/>
      <sz val="10"/>
    </font>
    <font>
      <name val="Calibri"/>
      <i val="1"/>
      <color rgb="000000FF"/>
      <sz val="10"/>
    </font>
    <font>
      <name val="Calibri"/>
      <color rgb="00595959"/>
      <sz val="9"/>
    </font>
    <font>
      <name val="Calibri"/>
      <b val="1"/>
      <color rgb="00C00000"/>
      <sz val="10"/>
    </font>
    <font>
      <name val="Calibri"/>
      <color rgb="0000803C"/>
      <sz val="10"/>
    </font>
    <font>
      <name val="Calibri"/>
      <b val="1"/>
      <sz val="10"/>
    </font>
    <font>
      <name val="Calibri"/>
      <b val="1"/>
      <color rgb="0000803C"/>
      <sz val="10"/>
    </font>
    <font>
      <name val="Calibri"/>
      <i val="1"/>
      <color rgb="00C00000"/>
      <sz val="8"/>
    </font>
    <font>
      <name val="Calibri"/>
      <sz val="9"/>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2A8"/>
      </patternFill>
    </fill>
    <fill>
      <patternFill patternType="solid">
        <fgColor rgb="0044546A"/>
      </patternFill>
    </fill>
  </fills>
  <borders count="1">
    <border>
      <left/>
      <right/>
      <top/>
      <bottom/>
      <diagonal/>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8" fillId="4" borderId="0" pivotButton="0" quotePrefix="0" xfId="0"/>
    <xf numFmtId="0" fontId="5" fillId="0" borderId="0" pivotButton="0" quotePrefix="0" xfId="0"/>
    <xf numFmtId="165" fontId="13" fillId="0" borderId="0" pivotButton="0" quotePrefix="0" xfId="0"/>
    <xf numFmtId="165" fontId="15" fillId="0" borderId="0" pivotButton="0" quotePrefix="0" xfId="0"/>
    <xf numFmtId="168" fontId="15" fillId="0" borderId="0" pivotButton="0" quotePrefix="0" xfId="0"/>
    <xf numFmtId="168" fontId="5" fillId="0" borderId="0" pivotButton="0" quotePrefix="0" xfId="0"/>
    <xf numFmtId="0" fontId="4" fillId="3" borderId="0" pivotButton="0" quotePrefix="0" xfId="0"/>
    <xf numFmtId="0" fontId="0" fillId="3" borderId="0" pivotButton="0" quotePrefix="0" xfId="0"/>
    <xf numFmtId="0" fontId="13"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168" fontId="13" fillId="0" borderId="0" pivotButton="0" quotePrefix="0" xfId="0"/>
    <xf numFmtId="168" fontId="8" fillId="0" borderId="0" pivotButton="0" quotePrefix="0" xfId="0"/>
    <xf numFmtId="167" fontId="13" fillId="0" borderId="0" pivotButton="0" quotePrefix="0" xfId="0"/>
    <xf numFmtId="167" fontId="5" fillId="0" borderId="0" pivotButton="0" quotePrefix="0" xfId="0"/>
    <xf numFmtId="165" fontId="5" fillId="0" borderId="0" pivotButton="0" quotePrefix="0" xfId="0"/>
    <xf numFmtId="165" fontId="8" fillId="0" borderId="0" pivotButton="0" quotePrefix="0" xfId="0"/>
    <xf numFmtId="0" fontId="12" fillId="0" borderId="0" pivotButton="0" quotePrefix="0" xfId="0"/>
    <xf numFmtId="167" fontId="13" fillId="4" borderId="0" pivotButton="0" quotePrefix="0" xfId="0"/>
    <xf numFmtId="167" fontId="15" fillId="4" borderId="0" pivotButton="0" quotePrefix="0" xfId="0"/>
    <xf numFmtId="168" fontId="13" fillId="4" borderId="0" pivotButton="0" quotePrefix="0" xfId="0"/>
    <xf numFmtId="168" fontId="15" fillId="4" borderId="0" pivotButton="0" quotePrefix="0" xfId="0"/>
    <xf numFmtId="0" fontId="5" fillId="0" borderId="0" applyAlignment="1" pivotButton="0" quotePrefix="0" xfId="0">
      <alignment vertical="top" wrapText="1"/>
    </xf>
    <xf numFmtId="0" fontId="9" fillId="4" borderId="0" pivotButton="0" quotePrefix="0" xfId="0"/>
    <xf numFmtId="1" fontId="5" fillId="0" borderId="0" pivotButton="0" quotePrefix="0" xfId="0"/>
    <xf numFmtId="0" fontId="3" fillId="5" borderId="0" applyAlignment="1" pivotButton="0" quotePrefix="0" xfId="0">
      <alignment horizontal="left" vertical="center" wrapText="1"/>
    </xf>
    <xf numFmtId="0" fontId="3" fillId="5" borderId="0" applyAlignment="1" pivotButton="0" quotePrefix="0" xfId="0">
      <alignment horizontal="center" vertical="center" wrapText="1"/>
    </xf>
    <xf numFmtId="164" fontId="15" fillId="4" borderId="0" pivotButton="0" quotePrefix="0" xfId="0"/>
    <xf numFmtId="164" fontId="8" fillId="4" borderId="0" pivotButton="0" quotePrefix="0" xfId="0"/>
    <xf numFmtId="168" fontId="8" fillId="4" borderId="0" pivotButton="0" quotePrefix="0" xfId="0"/>
    <xf numFmtId="164" fontId="13" fillId="0" borderId="0" pivotButton="0" quotePrefix="0" xfId="0"/>
    <xf numFmtId="164" fontId="8" fillId="0" borderId="0" pivotButton="0" quotePrefix="0" xfId="0"/>
    <xf numFmtId="0" fontId="3" fillId="5" borderId="0" applyAlignment="1" pivotButton="0" quotePrefix="0" xfId="0">
      <alignment vertical="top" wrapText="1"/>
    </xf>
    <xf numFmtId="0" fontId="11" fillId="0" borderId="0" pivotButton="0" quotePrefix="0" xfId="0"/>
    <xf numFmtId="1" fontId="6" fillId="0" borderId="0" pivotButton="0" quotePrefix="0" xfId="0"/>
    <xf numFmtId="0" fontId="7" fillId="0" borderId="0" applyAlignment="1" pivotButton="0" quotePrefix="0" xfId="0">
      <alignment vertical="top" wrapText="1"/>
    </xf>
    <xf numFmtId="164" fontId="6" fillId="0" borderId="0" pivotButton="0" quotePrefix="0" xfId="0"/>
    <xf numFmtId="165" fontId="6" fillId="0" borderId="0" pivotButton="0" quotePrefix="0" xfId="0"/>
    <xf numFmtId="0" fontId="5" fillId="0" borderId="0" applyAlignment="1" pivotButton="0" quotePrefix="0" xfId="0">
      <alignment indent="2"/>
    </xf>
    <xf numFmtId="167" fontId="6" fillId="4" borderId="0" pivotButton="0" quotePrefix="0" xfId="0"/>
    <xf numFmtId="0" fontId="8" fillId="0" borderId="0" applyAlignment="1" pivotButton="0" quotePrefix="0" xfId="0">
      <alignment indent="2"/>
    </xf>
    <xf numFmtId="167" fontId="8" fillId="0" borderId="0" pivotButton="0" quotePrefix="0" xfId="0"/>
    <xf numFmtId="168" fontId="6" fillId="0" borderId="0" pivotButton="0" quotePrefix="0" xfId="0"/>
    <xf numFmtId="166" fontId="6" fillId="0" borderId="0" pivotButton="0" quotePrefix="0" xfId="0"/>
    <xf numFmtId="169" fontId="6" fillId="4" borderId="0" pivotButton="0" quotePrefix="0" xfId="0"/>
    <xf numFmtId="169" fontId="8" fillId="0" borderId="0" pivotButton="0" quotePrefix="0" xfId="0"/>
    <xf numFmtId="2" fontId="6" fillId="0" borderId="0" pivotButton="0" quotePrefix="0" xfId="0"/>
    <xf numFmtId="2" fontId="6" fillId="4" borderId="0" pivotButton="0" quotePrefix="0" xfId="0"/>
    <xf numFmtId="2" fontId="8" fillId="0" borderId="0" pivotButton="0" quotePrefix="0" xfId="0"/>
    <xf numFmtId="167" fontId="6" fillId="0" borderId="0" pivotButton="0" quotePrefix="0" xfId="0"/>
    <xf numFmtId="170" fontId="5" fillId="0" borderId="0" pivotButton="0" quotePrefix="0" xfId="0"/>
    <xf numFmtId="10" fontId="5" fillId="0" borderId="0" pivotButton="0" quotePrefix="0" xfId="0"/>
    <xf numFmtId="166" fontId="13" fillId="0" borderId="0" pivotButton="0" quotePrefix="0" xfId="0"/>
    <xf numFmtId="0" fontId="14" fillId="0" borderId="0" pivotButton="0" quotePrefix="0" xfId="0"/>
    <xf numFmtId="170" fontId="6" fillId="0" borderId="0" pivotButton="0" quotePrefix="0" xfId="0"/>
    <xf numFmtId="0" fontId="6" fillId="0" borderId="0" pivotButton="0" quotePrefix="0" xfId="0"/>
    <xf numFmtId="164" fontId="5" fillId="0" borderId="0" pivotButton="0" quotePrefix="0" xfId="0"/>
    <xf numFmtId="168" fontId="6" fillId="4" borderId="0" pivotButton="0" quotePrefix="0" xfId="0"/>
    <xf numFmtId="171" fontId="6" fillId="0" borderId="0" pivotButton="0" quotePrefix="0" xfId="0"/>
    <xf numFmtId="171" fontId="8" fillId="0" borderId="0" pivotButton="0" quotePrefix="0" xfId="0"/>
    <xf numFmtId="172" fontId="6" fillId="0" borderId="0" pivotButton="0" quotePrefix="0" xfId="0"/>
    <xf numFmtId="172" fontId="8" fillId="0" borderId="0" pivotButton="0" quotePrefix="0" xfId="0"/>
    <xf numFmtId="0" fontId="8" fillId="5" borderId="0" pivotButton="0" quotePrefix="0" xfId="0"/>
    <xf numFmtId="164" fontId="9" fillId="0" borderId="0" pivotButton="0" quotePrefix="0" xfId="0"/>
    <xf numFmtId="167" fontId="10" fillId="0" borderId="0" pivotButton="0" quotePrefix="0" xfId="0"/>
    <xf numFmtId="166" fontId="5" fillId="0" borderId="0" pivotButton="0" quotePrefix="0" xfId="0"/>
    <xf numFmtId="169" fontId="5" fillId="0" borderId="0" pivotButton="0" quotePrefix="0" xfId="0"/>
    <xf numFmtId="169" fontId="13" fillId="0" borderId="0" pivotButton="0" quotePrefix="0" xfId="0"/>
    <xf numFmtId="164" fontId="15" fillId="0" borderId="0" pivotButton="0" quotePrefix="0" xfId="0"/>
    <xf numFmtId="2" fontId="13" fillId="0" borderId="0" pivotButton="0" quotePrefix="0" xfId="0"/>
    <xf numFmtId="173" fontId="8" fillId="0" borderId="0" pivotButton="0" quotePrefix="0" xfId="0"/>
    <xf numFmtId="171" fontId="5" fillId="0" borderId="0" pivotButton="0" quotePrefix="0" xfId="0"/>
    <xf numFmtId="0" fontId="3" fillId="2" borderId="0" applyAlignment="1" pivotButton="0" quotePrefix="0" xfId="0">
      <alignment vertical="top" wrapText="1"/>
    </xf>
    <xf numFmtId="171" fontId="13" fillId="0" borderId="0" pivotButton="0" quotePrefix="0" xfId="0"/>
    <xf numFmtId="172" fontId="13" fillId="0" borderId="0" pivotButton="0" quotePrefix="0" xfId="0"/>
    <xf numFmtId="172" fontId="5" fillId="0" borderId="0" pivotButton="0" quotePrefix="0" xfId="0"/>
    <xf numFmtId="173" fontId="5" fillId="0" borderId="0" pivotButton="0" quotePrefix="0" xfId="0"/>
    <xf numFmtId="0" fontId="16" fillId="0" borderId="0" applyAlignment="1" pivotButton="0" quotePrefix="0" xfId="0">
      <alignment vertical="top" wrapText="1"/>
    </xf>
    <xf numFmtId="165" fontId="9" fillId="0" borderId="0" pivotButton="0" quotePrefix="0" xfId="0"/>
    <xf numFmtId="0" fontId="0" fillId="0" borderId="0" applyAlignment="1" pivotButton="0" quotePrefix="0" xfId="0">
      <alignment vertical="top" wrapText="1"/>
    </xf>
    <xf numFmtId="173" fontId="13" fillId="0" borderId="0" pivotButton="0" quotePrefix="0" xfId="0"/>
    <xf numFmtId="2" fontId="5" fillId="0" borderId="0" pivotButton="0" quotePrefix="0" xfId="0"/>
    <xf numFmtId="171" fontId="9" fillId="0" borderId="0" pivotButton="0" quotePrefix="0" xfId="0"/>
    <xf numFmtId="167" fontId="9" fillId="0" borderId="0" applyAlignment="1" pivotButton="0" quotePrefix="0" xfId="0">
      <alignment horizontal="right"/>
    </xf>
    <xf numFmtId="174" fontId="9" fillId="0" borderId="0" pivotButton="0" quotePrefix="0" xfId="0"/>
    <xf numFmtId="168" fontId="9" fillId="0" borderId="0" pivotButton="0" quotePrefix="0" xfId="0"/>
    <xf numFmtId="168" fontId="9" fillId="0" borderId="0" applyAlignment="1" pivotButton="0" quotePrefix="0" xfId="0">
      <alignment horizontal="right"/>
    </xf>
    <xf numFmtId="0" fontId="7" fillId="0" borderId="0" pivotButton="0" quotePrefix="0" xfId="0"/>
    <xf numFmtId="1" fontId="8" fillId="0" borderId="0" pivotButton="0" quotePrefix="0" xfId="0"/>
    <xf numFmtId="0" fontId="1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Blended value per share by scenario ($)</a:t>
            </a:r>
          </a:p>
        </rich>
      </tx>
    </title>
    <plotArea>
      <barChart>
        <barDir val="col"/>
        <grouping val="clustered"/>
        <ser>
          <idx val="0"/>
          <order val="0"/>
          <tx>
            <strRef>
              <f>'Summary'!A29</f>
            </strRef>
          </tx>
          <spPr>
            <a:ln>
              <a:prstDash val="solid"/>
            </a:ln>
          </spPr>
          <cat>
            <numRef>
              <f>'Summary'!$B$21:$E$21</f>
            </numRef>
          </cat>
          <val>
            <numRef>
              <f>'Summary'!$B$29:$E$29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2027E segment EBITDA: Mgmt guide to Base ($M)</a:t>
            </a:r>
          </a:p>
        </rich>
      </tx>
    </title>
    <plotArea>
      <barChart>
        <barDir val="col"/>
        <grouping val="stacked"/>
        <ser>
          <idx val="0"/>
          <order val="0"/>
          <tx>
            <strRef>
              <f>'Bridge'!B19</f>
            </strRef>
          </tx>
          <spPr>
            <a:noFill/>
            <a:ln>
              <a:noFill/>
              <a:prstDash val="solid"/>
            </a:ln>
          </spPr>
          <cat>
            <numRef>
              <f>'Bridge'!$A$20:$A$24</f>
            </numRef>
          </cat>
          <val>
            <numRef>
              <f>'Bridge'!$B$20:$B$24</f>
            </numRef>
          </val>
        </ser>
        <ser>
          <idx val="1"/>
          <order val="1"/>
          <tx>
            <strRef>
              <f>'Bridge'!C19</f>
            </strRef>
          </tx>
          <spPr>
            <a:solidFill>
              <a:srgbClr val="1F3864"/>
            </a:solidFill>
            <a:ln>
              <a:prstDash val="solid"/>
            </a:ln>
          </spPr>
          <cat>
            <numRef>
              <f>'Bridge'!$A$20:$A$24</f>
            </numRef>
          </cat>
          <val>
            <numRef>
              <f>'Bridge'!$C$20:$C$24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Model</author>
  </authors>
  <commentList>
    <comment ref="C4" authorId="0" shapeId="0">
      <text>
        <t>Choose Bear / Base / Bull / Mgmt Guide. Named range 'Scenario'. All 'Selected' driver rows use INDEX on this choice.</t>
      </text>
    </comment>
    <comment ref="A9" authorId="0" shapeId="0">
      <text>
        <t>KEY ASSUMPTION #1: 2027 Aerospace EBITDA = modules x EBITDA/module. Mgmt guide 1,400 (1,700 modules); Base 1,230 (1,500 modules at 0.82). The guide is a volume call (+42% modules vs 2026), not a margin call.</t>
      </text>
    </comment>
    <comment ref="A10" authorId="0" shapeId="0">
      <text>
        <t>KEY ASSUMPTION #2: share of excess inventory days converted to cash by Q4'26. Needed for the $878M FY26 Adj. FCF guide ($623M in 2H26 vs $255M in 1H26). Mgmt value is back-solved.</t>
      </text>
    </comment>
    <comment ref="A11" authorId="0" shapeId="0">
      <text>
        <t>KEY ASSUMPTION #3: Power units x EBITDA per unit (7.5, unverified). 2027 units Bear 20 / Base 44 / Bull 80 / Mgmt 60.</t>
      </text>
    </comment>
    <comment ref="A26" authorId="0" shapeId="0">
      <text>
        <t>KEY ASSUMPTION #1 (volume leg): 2027 Aerospace EBITDA = modules x EBITDA per module. Mgmt guide needs 1,700 modules (+42% vs 2026 pace of ~1,200); Base 1,500.</t>
      </text>
    </comment>
    <comment ref="A44" authorId="0" shapeId="0">
      <text>
        <t>KEY ASSUMPTION #1 (margin leg): EBITDA per module. Q2-26 actual 0.84 (28.5% margin). Mgmt guide implies 0.8235 in 2027; 2H26 guide implies ~0.90 (a +16% step-up on Q2 EBITDA).</t>
      </text>
    </comment>
    <comment ref="A63" authorId="0" shapeId="0">
      <text>
        <t>KEY ASSUMPTION #3: the Power ramp. First deliveries start 2027 (mgmt: 'prudent to expect'). 2027 units Bear 20 / Base 44 (~75% of the 59-unit PO) / Bull 80 / Mgmt 60 ($450M / $7.5M). FY28+ are analyst assumptions.</t>
      </text>
    </comment>
    <comment ref="A70" authorId="0" shapeId="0">
      <text>
        <t>KEY ASSUMPTION #3 (cont.): EBITDA per unit of $7.5M is from secondary reports and is UNVERIFIED. Q4-25 call: Power margin 'as good or better than Aerospace' (30-35% on ~$25M = $7.5-8.75M).</t>
      </text>
    </comment>
    <comment ref="D136" authorId="0" shapeId="0">
      <text>
        <t>Reported, not verified. Default OFF.</t>
      </text>
    </comment>
    <comment ref="A161" authorId="0" shapeId="0">
      <text>
        <t>KEY ASSUMPTION #2: 2H26 FCF ramp. FY26 Adj. FCF guide $878M requires ~$623M in 2H26 vs $255M in 1H26. The Mgmt Guide value is BACK-SOLVED (not a judgment) so FY26 Adjusted FCF = 878. Bear/Base/Bull are judgment inputs. Q3 on 10/28 is the first test.</t>
      </text>
    </comment>
  </commentList>
</comments>
</file>

<file path=xl/comments/comment2.xml><?xml version="1.0" encoding="utf-8"?>
<comments xmlns="http://schemas.openxmlformats.org/spreadsheetml/2006/main">
  <authors>
    <author>Model</author>
  </authors>
  <commentList>
    <comment ref="M41" authorId="0" shapeId="0">
      <text>
        <t>ASSUMPTION: Q1-26 module count not found in sources. Estimated as Q1-26 Aerospace EBITDA divided by Q2-26 derived EBITDA per module (249.7/296 = 0.84).</t>
      </text>
    </comment>
  </commentList>
</comments>
</file>

<file path=xl/comments/comment3.xml><?xml version="1.0" encoding="utf-8"?>
<comments xmlns="http://schemas.openxmlformats.org/spreadsheetml/2006/main">
  <authors>
    <author>Model</author>
  </authors>
  <commentList>
    <comment ref="B36" authorId="0" shapeId="0">
      <text>
        <t>Inferred, not confirmed. Candidates: $49.1M acquisition of business line plus a ~$10M JV item (data notes gap #2). Investor-deck check timed out.</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42</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17</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H41"/>
  <sheetViews>
    <sheetView showGridLines="0" workbookViewId="0">
      <selection activeCell="A1" sqref="A1"/>
    </sheetView>
  </sheetViews>
  <sheetFormatPr baseColWidth="8" defaultRowHeight="15"/>
  <cols>
    <col width="8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FTAI Aviation (NASDAQ: FTAI): valuation summary</t>
        </is>
      </c>
    </row>
    <row r="2">
      <c r="A2" s="2" t="inlineStr">
        <is>
          <t>[TEAM NAME] | Point72 Academy pitch | market data as of 10/6/26 | USD m except per-share | Scenario selected on Drivers tab</t>
        </is>
      </c>
    </row>
    <row r="4">
      <c r="A4" s="3" t="inlineStr">
        <is>
          <t>RECOMMENDATION (formula-driven)</t>
        </is>
      </c>
      <c r="B4" s="4">
        <f>IF(Valuation!B100&gt;Drivers!$D$228,"LONG",IF(Valuation!B100&lt;-Drivers!$D$228,"SHORT","NEUTRAL / marginal"))&amp;": probability-weighted value $"&amp;TEXT(Valuation!B98,"0")&amp;" vs price $"&amp;TEXT(Drivers!$D$180,"0.00")&amp;" ("&amp;TEXT(Valuation!B100,"0%")&amp;")"&amp;IF(ABS(ABS(Valuation!B100)-Drivers!$D$228)&lt;Drivers!$D$229," - MARGINAL call","")</f>
        <v/>
      </c>
    </row>
    <row r="5">
      <c r="A5" s="5" t="inlineStr">
        <is>
          <t>Current price ($)</t>
        </is>
      </c>
      <c r="B5" s="6">
        <f>Drivers!$D$180</f>
        <v/>
      </c>
    </row>
    <row r="6">
      <c r="A6" s="3" t="inlineStr">
        <is>
          <t>Probability-weighted blended price target ($)</t>
        </is>
      </c>
      <c r="B6" s="7">
        <f>Valuation!B98</f>
        <v/>
      </c>
    </row>
    <row r="7">
      <c r="A7" s="3" t="inlineStr">
        <is>
          <t>Upside / (downside) vs current price</t>
        </is>
      </c>
      <c r="B7" s="8">
        <f>Valuation!B100</f>
        <v/>
      </c>
    </row>
    <row r="8">
      <c r="A8" s="5" t="inlineStr">
        <is>
          <t>Base-case blended price target ($) and upside</t>
        </is>
      </c>
      <c r="B8" s="6">
        <f>Valuation!C93</f>
        <v/>
      </c>
      <c r="C8" s="9">
        <f>B8/Drivers!$D$180-1</f>
        <v/>
      </c>
    </row>
    <row r="9">
      <c r="A9" s="5" t="inlineStr">
        <is>
          <t>Street mean PT ($, methodology not public)</t>
        </is>
      </c>
      <c r="B9" s="6">
        <f>Drivers!$D$215</f>
        <v/>
      </c>
    </row>
    <row r="11">
      <c r="A11" s="10" t="inlineStr">
        <is>
          <t>Price target by method: selected scenario (live)</t>
        </is>
      </c>
      <c r="B11" s="11" t="n"/>
      <c r="C11" s="11" t="n"/>
      <c r="D11" s="11" t="n"/>
      <c r="E11" s="11" t="n"/>
      <c r="F11" s="11" t="n"/>
      <c r="G11" s="11" t="n"/>
      <c r="H11" s="11" t="n"/>
    </row>
    <row r="12">
      <c r="A12" s="5" t="inlineStr">
        <is>
          <t>Scenario currently selected</t>
        </is>
      </c>
      <c r="B12" s="12">
        <f>Drivers!$C$4</f>
        <v/>
      </c>
    </row>
    <row r="13">
      <c r="A13" s="13" t="inlineStr">
        <is>
          <t>Method</t>
        </is>
      </c>
      <c r="B13" s="14" t="inlineStr">
        <is>
          <t>Value / share</t>
        </is>
      </c>
      <c r="C13" s="14" t="inlineStr">
        <is>
          <t>Weight</t>
        </is>
      </c>
      <c r="D13" s="14" t="inlineStr">
        <is>
          <t>vs price</t>
        </is>
      </c>
    </row>
    <row r="14">
      <c r="A14" s="5" t="inlineStr">
        <is>
          <t>SOTP (2027E, Leasing at book)</t>
        </is>
      </c>
      <c r="B14" s="6">
        <f>Valuation!B68</f>
        <v/>
      </c>
      <c r="C14" s="15">
        <f>Valuation!C68</f>
        <v/>
      </c>
      <c r="D14" s="9">
        <f>B14/Drivers!$D$180-1</f>
        <v/>
      </c>
    </row>
    <row r="15">
      <c r="A15" s="5" t="inlineStr">
        <is>
          <t>Forward P/E x FY27E EPS</t>
        </is>
      </c>
      <c r="B15" s="6">
        <f>Valuation!B69</f>
        <v/>
      </c>
      <c r="C15" s="15">
        <f>Valuation!C69</f>
        <v/>
      </c>
      <c r="D15" s="9">
        <f>B15/Drivers!$D$180-1</f>
        <v/>
      </c>
    </row>
    <row r="16">
      <c r="A16" s="5" t="inlineStr">
        <is>
          <t>DCF (clean FCF)</t>
        </is>
      </c>
      <c r="B16" s="6">
        <f>Valuation!B70</f>
        <v/>
      </c>
      <c r="C16" s="15">
        <f>Valuation!C70</f>
        <v/>
      </c>
      <c r="D16" s="9">
        <f>B16/Drivers!$D$180-1</f>
        <v/>
      </c>
    </row>
    <row r="17">
      <c r="A17" s="3" t="inlineStr">
        <is>
          <t>Blended (weights are inputs on Drivers)</t>
        </is>
      </c>
      <c r="B17" s="7">
        <f>Valuation!D71</f>
        <v/>
      </c>
      <c r="C17" s="15">
        <f>Valuation!C71</f>
        <v/>
      </c>
      <c r="D17" s="16">
        <f>B17/Drivers!$D$180-1</f>
        <v/>
      </c>
    </row>
    <row r="18">
      <c r="A18" s="5" t="inlineStr">
        <is>
          <t>Model FY27E EPS ($) vs consensus-implied ($8.87)</t>
        </is>
      </c>
      <c r="B18" s="6">
        <f>Valuation!B39</f>
        <v/>
      </c>
      <c r="C18" s="6">
        <f>Valuation!B43</f>
        <v/>
      </c>
      <c r="D18" s="15">
        <f>Valuation!B46</f>
        <v/>
      </c>
    </row>
    <row r="20">
      <c r="A20" s="10" t="inlineStr">
        <is>
          <t>Scenario table (SOTP is live; EPS, P/E, DCF, blended come from the snapshot of four full recalculations)</t>
        </is>
      </c>
      <c r="B20" s="11" t="n"/>
      <c r="C20" s="11" t="n"/>
      <c r="D20" s="11" t="n"/>
      <c r="E20" s="11" t="n"/>
      <c r="F20" s="11" t="n"/>
      <c r="G20" s="11" t="n"/>
      <c r="H20" s="11" t="n"/>
    </row>
    <row r="21">
      <c r="A21" s="13" t="inlineStr">
        <is>
          <t>Metric</t>
        </is>
      </c>
      <c r="B21" s="14" t="inlineStr">
        <is>
          <t>Bear</t>
        </is>
      </c>
      <c r="C21" s="14" t="inlineStr">
        <is>
          <t>Base</t>
        </is>
      </c>
      <c r="D21" s="14" t="inlineStr">
        <is>
          <t>Bull</t>
        </is>
      </c>
      <c r="E21" s="14" t="inlineStr">
        <is>
          <t>Mgmt Guide</t>
        </is>
      </c>
      <c r="F21" s="14" t="inlineStr">
        <is>
          <t>Prob-weighted</t>
        </is>
      </c>
    </row>
    <row r="22">
      <c r="A22" s="5" t="inlineStr">
        <is>
          <t>Probability weight</t>
        </is>
      </c>
      <c r="B22" s="15">
        <f>Valuation!B97</f>
        <v/>
      </c>
      <c r="C22" s="15">
        <f>Valuation!C97</f>
        <v/>
      </c>
      <c r="D22" s="15">
        <f>Valuation!D97</f>
        <v/>
      </c>
      <c r="E22" s="15">
        <f>Valuation!E97</f>
        <v/>
      </c>
      <c r="F22" s="9">
        <f>SUM(B22:E22)</f>
        <v/>
      </c>
    </row>
    <row r="23">
      <c r="A23" s="5" t="inlineStr">
        <is>
          <t>FY26E segment EBITDA ($M)</t>
        </is>
      </c>
      <c r="B23" s="17">
        <f>Valuation!B85</f>
        <v/>
      </c>
      <c r="C23" s="17">
        <f>Valuation!C85</f>
        <v/>
      </c>
      <c r="D23" s="17">
        <f>Valuation!D85</f>
        <v/>
      </c>
      <c r="E23" s="17">
        <f>Valuation!E85</f>
        <v/>
      </c>
      <c r="F23" s="18">
        <f>SUMPRODUCT(B23:E23,$B$22:$E$22)/SUM($B$22:$E$22)</f>
        <v/>
      </c>
    </row>
    <row r="24">
      <c r="A24" s="5" t="inlineStr">
        <is>
          <t>FY27E segment EBITDA ($M)</t>
        </is>
      </c>
      <c r="B24" s="17">
        <f>Valuation!B86</f>
        <v/>
      </c>
      <c r="C24" s="17">
        <f>Valuation!C86</f>
        <v/>
      </c>
      <c r="D24" s="17">
        <f>Valuation!D86</f>
        <v/>
      </c>
      <c r="E24" s="17">
        <f>Valuation!E86</f>
        <v/>
      </c>
      <c r="F24" s="18">
        <f>SUMPRODUCT(B24:E24,$B$22:$E$22)/SUM($B$22:$E$22)</f>
        <v/>
      </c>
    </row>
    <row r="25">
      <c r="A25" s="5" t="inlineStr">
        <is>
          <t>FY27E diluted EPS ($)</t>
        </is>
      </c>
      <c r="B25" s="6">
        <f>Valuation!B89</f>
        <v/>
      </c>
      <c r="C25" s="6">
        <f>Valuation!C89</f>
        <v/>
      </c>
      <c r="D25" s="6">
        <f>Valuation!D89</f>
        <v/>
      </c>
      <c r="E25" s="6">
        <f>Valuation!E89</f>
        <v/>
      </c>
      <c r="F25" s="19">
        <f>SUMPRODUCT(B25:E25,$B$22:$E$22)/SUM($B$22:$E$22)</f>
        <v/>
      </c>
    </row>
    <row r="26">
      <c r="A26" s="5" t="inlineStr">
        <is>
          <t>SOTP value / share ($)</t>
        </is>
      </c>
      <c r="B26" s="6">
        <f>Valuation!B31</f>
        <v/>
      </c>
      <c r="C26" s="6">
        <f>Valuation!C31</f>
        <v/>
      </c>
      <c r="D26" s="6">
        <f>Valuation!D31</f>
        <v/>
      </c>
      <c r="E26" s="6">
        <f>Valuation!E31</f>
        <v/>
      </c>
      <c r="F26" s="19">
        <f>SUMPRODUCT(B26:E26,$B$22:$E$22)/SUM($B$22:$E$22)</f>
        <v/>
      </c>
    </row>
    <row r="27">
      <c r="A27" s="5" t="inlineStr">
        <is>
          <t>P/E value / share ($)</t>
        </is>
      </c>
      <c r="B27" s="6">
        <f>Valuation!B91</f>
        <v/>
      </c>
      <c r="C27" s="6">
        <f>Valuation!C91</f>
        <v/>
      </c>
      <c r="D27" s="6">
        <f>Valuation!D91</f>
        <v/>
      </c>
      <c r="E27" s="6">
        <f>Valuation!E91</f>
        <v/>
      </c>
      <c r="F27" s="19">
        <f>SUMPRODUCT(B27:E27,$B$22:$E$22)/SUM($B$22:$E$22)</f>
        <v/>
      </c>
    </row>
    <row r="28">
      <c r="A28" s="5" t="inlineStr">
        <is>
          <t>DCF value / share ($)</t>
        </is>
      </c>
      <c r="B28" s="6">
        <f>Valuation!B92</f>
        <v/>
      </c>
      <c r="C28" s="6">
        <f>Valuation!C92</f>
        <v/>
      </c>
      <c r="D28" s="6">
        <f>Valuation!D92</f>
        <v/>
      </c>
      <c r="E28" s="6">
        <f>Valuation!E92</f>
        <v/>
      </c>
      <c r="F28" s="19">
        <f>SUMPRODUCT(B28:E28,$B$22:$E$22)/SUM($B$22:$E$22)</f>
        <v/>
      </c>
    </row>
    <row r="29">
      <c r="A29" s="3" t="inlineStr">
        <is>
          <t>Blended value / share ($)</t>
        </is>
      </c>
      <c r="B29" s="7">
        <f>Valuation!B93</f>
        <v/>
      </c>
      <c r="C29" s="7">
        <f>Valuation!C93</f>
        <v/>
      </c>
      <c r="D29" s="7">
        <f>Valuation!D93</f>
        <v/>
      </c>
      <c r="E29" s="7">
        <f>Valuation!E93</f>
        <v/>
      </c>
      <c r="F29" s="20">
        <f>SUMPRODUCT(B29:E29,$B$22:$E$22)/SUM($B$22:$E$22)</f>
        <v/>
      </c>
    </row>
    <row r="30">
      <c r="A30" s="5" t="inlineStr">
        <is>
          <t>Upside / (downside) vs price (blended)</t>
        </is>
      </c>
      <c r="B30" s="9">
        <f>B29/Drivers!$D$180-1</f>
        <v/>
      </c>
      <c r="C30" s="9">
        <f>C29/Drivers!$D$180-1</f>
        <v/>
      </c>
      <c r="D30" s="9">
        <f>D29/Drivers!$D$180-1</f>
        <v/>
      </c>
      <c r="E30" s="9">
        <f>E29/Drivers!$D$180-1</f>
        <v/>
      </c>
      <c r="F30" s="9">
        <f>F29/Drivers!$D$180-1</f>
        <v/>
      </c>
    </row>
    <row r="32">
      <c r="A32" s="10" t="inlineStr">
        <is>
          <t>The 3 KEY ASSUMPTIONS (flagged; values by scenario)</t>
        </is>
      </c>
      <c r="B32" s="11" t="n"/>
      <c r="C32" s="11" t="n"/>
      <c r="D32" s="11" t="n"/>
      <c r="E32" s="11" t="n"/>
      <c r="F32" s="11" t="n"/>
      <c r="G32" s="11" t="n"/>
      <c r="H32" s="11" t="n"/>
    </row>
    <row r="33">
      <c r="A33" s="13" t="inlineStr">
        <is>
          <t>Key assumption</t>
        </is>
      </c>
      <c r="B33" s="14" t="inlineStr">
        <is>
          <t>Bear</t>
        </is>
      </c>
      <c r="C33" s="14" t="inlineStr">
        <is>
          <t>Base</t>
        </is>
      </c>
      <c r="D33" s="14" t="inlineStr">
        <is>
          <t>Bull</t>
        </is>
      </c>
      <c r="E33" s="14" t="inlineStr">
        <is>
          <t>Mgmt Guide</t>
        </is>
      </c>
      <c r="F33" s="14" t="inlineStr">
        <is>
          <t>Selected</t>
        </is>
      </c>
    </row>
    <row r="34">
      <c r="A34" s="21" t="inlineStr">
        <is>
          <t>KEY #1: 2027E Aerospace EBITDA ($M) = modules x EBITDA/module (guide is a volume call)</t>
        </is>
      </c>
      <c r="B34" s="22">
        <f>Drivers!D9</f>
        <v/>
      </c>
      <c r="C34" s="22">
        <f>Drivers!E9</f>
        <v/>
      </c>
      <c r="D34" s="22">
        <f>Drivers!F9</f>
        <v/>
      </c>
      <c r="E34" s="22">
        <f>Drivers!G9</f>
        <v/>
      </c>
      <c r="F34" s="23">
        <f>Drivers!H9</f>
        <v/>
      </c>
    </row>
    <row r="35">
      <c r="A35" s="21" t="inlineStr">
        <is>
          <t>KEY #2: inventory conversion % (2H26 FCF ramp; Mgmt value back-solved to the $878M guide)</t>
        </is>
      </c>
      <c r="B35" s="24">
        <f>Drivers!D10</f>
        <v/>
      </c>
      <c r="C35" s="24">
        <f>Drivers!E10</f>
        <v/>
      </c>
      <c r="D35" s="24">
        <f>Drivers!F10</f>
        <v/>
      </c>
      <c r="E35" s="24">
        <f>Drivers!G10</f>
        <v/>
      </c>
      <c r="F35" s="25">
        <f>Drivers!H10</f>
        <v/>
      </c>
    </row>
    <row r="36">
      <c r="A36" s="21" t="inlineStr">
        <is>
          <t>KEY #3: 2027E Power EBITDA ($M) = units x $7.5M/unit (unverified)</t>
        </is>
      </c>
      <c r="B36" s="22">
        <f>Drivers!D11</f>
        <v/>
      </c>
      <c r="C36" s="22">
        <f>Drivers!E11</f>
        <v/>
      </c>
      <c r="D36" s="22">
        <f>Drivers!F11</f>
        <v/>
      </c>
      <c r="E36" s="22">
        <f>Drivers!G11</f>
        <v/>
      </c>
      <c r="F36" s="23">
        <f>Drivers!H11</f>
        <v/>
      </c>
    </row>
    <row r="38">
      <c r="A38" s="10" t="inlineStr">
        <is>
          <t>Thesis in three bullets</t>
        </is>
      </c>
      <c r="B38" s="11" t="n"/>
      <c r="C38" s="11" t="n"/>
      <c r="D38" s="11" t="n"/>
      <c r="E38" s="11" t="n"/>
      <c r="F38" s="11" t="n"/>
      <c r="G38" s="11" t="n"/>
      <c r="H38" s="11" t="n"/>
    </row>
    <row r="39" ht="40" customHeight="1">
      <c r="A39" s="26" t="inlineStr">
        <is>
          <t>1. Cash quality: FY25 Adjusted FCF of $724M vs CFO+CFI of $412.6M; 1H26 clean cash was about $26M after $176M of non-recurring seed sales and $48M of insurance, and the $878M FY26 guide needs ~$623M in 2H26 (about 3x the Q2 run-rate).</t>
        </is>
      </c>
    </row>
    <row r="40" ht="40" customHeight="1">
      <c r="A40" s="26" t="inlineStr">
        <is>
          <t>2. Growth runs through affiliates: 25% of 1H26 Aerospace revenue was sold to the 19%-owned SCI vehicle, Power sits in a JV that Jereh consolidates, and pro-rata SCI/JV EBITDA is counted in Adj. EBITDA but arrives as cash only via distributions.</t>
        </is>
      </c>
    </row>
    <row r="41" ht="40" customHeight="1">
      <c r="A41" s="26" t="inlineStr">
        <is>
          <t>3. Valuation: the 2027 guide is roughly our Bull case. On Base (1,920 EBITDA) SOTP and P/E sit near the current price, far below the Street's ~$330; the call depends on the 2027 EBITDA delivery and the Q3 (10/28) FCF test.</t>
        </is>
      </c>
    </row>
  </sheetData>
  <mergeCells count="4">
    <mergeCell ref="A41:H41"/>
    <mergeCell ref="B4:H4"/>
    <mergeCell ref="A39:H39"/>
    <mergeCell ref="A40:H40"/>
  </mergeCells>
  <conditionalFormatting sqref="B30:F30">
    <cfRule type="cellIs" priority="1" operator="greaterThan" dxfId="0">
      <formula>0</formula>
    </cfRule>
    <cfRule type="cellIs" priority="2" operator="lessThan" dxfId="1">
      <formula>0</formula>
    </cfRule>
  </conditionalFormatting>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269"/>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66" customWidth="1" min="1" max="1"/>
    <col width="8" customWidth="1" min="2" max="2"/>
    <col width="9"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85" customWidth="1" min="13" max="13"/>
  </cols>
  <sheetData>
    <row r="1">
      <c r="A1" s="1" t="inlineStr">
        <is>
          <t>Drivers: every projection traces to this tab</t>
        </is>
      </c>
    </row>
    <row r="2">
      <c r="A2" s="2" t="inlineStr">
        <is>
          <t>Blue = typed input; black = formula; green = link. Yellow fill + red bold label = KEY ASSUMPTION. Scenario selector below drives all 'Selected' rows. USD m unless stated.</t>
        </is>
      </c>
    </row>
    <row r="4">
      <c r="A4" s="3" t="inlineStr">
        <is>
          <t>SCENARIO SELECTOR (dropdown)</t>
        </is>
      </c>
      <c r="C4" s="27" t="inlineStr">
        <is>
          <t>Base</t>
        </is>
      </c>
      <c r="E4" s="28">
        <f>MATCH(C4,G4:J4,0)</f>
        <v/>
      </c>
      <c r="F4" t="inlineStr">
        <is>
          <t>list:</t>
        </is>
      </c>
      <c r="G4" s="3" t="inlineStr">
        <is>
          <t>Bear</t>
        </is>
      </c>
      <c r="H4" s="3" t="inlineStr">
        <is>
          <t>Base</t>
        </is>
      </c>
      <c r="I4" s="3" t="inlineStr">
        <is>
          <t>Bull</t>
        </is>
      </c>
      <c r="J4" s="3" t="inlineStr">
        <is>
          <t>Mgmt Guide</t>
        </is>
      </c>
    </row>
    <row r="5">
      <c r="A5" s="5" t="inlineStr">
        <is>
          <t>Scenario index (formula)</t>
        </is>
      </c>
    </row>
    <row r="7">
      <c r="A7" s="10" t="inlineStr">
        <is>
          <t>KEY ASSUMPTIONS (3): values by scenario</t>
        </is>
      </c>
      <c r="B7" s="11" t="n"/>
      <c r="C7" s="11" t="n"/>
      <c r="D7" s="11" t="n"/>
      <c r="E7" s="11" t="n"/>
      <c r="F7" s="11" t="n"/>
      <c r="G7" s="11" t="n"/>
      <c r="H7" s="11" t="n"/>
      <c r="I7" s="11" t="n"/>
      <c r="J7" s="11" t="n"/>
      <c r="K7" s="11" t="n"/>
      <c r="L7" s="11" t="n"/>
      <c r="M7" s="11" t="n"/>
    </row>
    <row r="8">
      <c r="A8" s="29" t="inlineStr">
        <is>
          <t>Key assumption</t>
        </is>
      </c>
      <c r="B8" s="30" t="inlineStr">
        <is>
          <t>Unit</t>
        </is>
      </c>
      <c r="C8" s="30" t="inlineStr"/>
      <c r="D8" s="30" t="inlineStr">
        <is>
          <t>Bear</t>
        </is>
      </c>
      <c r="E8" s="30" t="inlineStr">
        <is>
          <t>Base</t>
        </is>
      </c>
      <c r="F8" s="30" t="inlineStr">
        <is>
          <t>Bull</t>
        </is>
      </c>
      <c r="G8" s="30" t="inlineStr">
        <is>
          <t>Mgmt Guide</t>
        </is>
      </c>
      <c r="H8" s="30" t="inlineStr">
        <is>
          <t>Selected</t>
        </is>
      </c>
    </row>
    <row r="9">
      <c r="A9" s="21" t="inlineStr">
        <is>
          <t>KEY #1: 2027 Aerospace EBITDA (modules x EBITDA per module)</t>
        </is>
      </c>
      <c r="B9" t="inlineStr">
        <is>
          <t>$M</t>
        </is>
      </c>
      <c r="D9" s="31">
        <f>Drivers!$D$263</f>
        <v/>
      </c>
      <c r="E9" s="31">
        <f>Drivers!$E$263</f>
        <v/>
      </c>
      <c r="F9" s="31">
        <f>Drivers!$F$263</f>
        <v/>
      </c>
      <c r="G9" s="31">
        <f>Drivers!$G$263</f>
        <v/>
      </c>
      <c r="H9" s="32">
        <f>INDEX(D9:G9,$E$4)</f>
        <v/>
      </c>
    </row>
    <row r="10">
      <c r="A10" s="21" t="inlineStr">
        <is>
          <t>KEY #2: Inventory conversion % (drives the 2H26 FCF ramp)</t>
        </is>
      </c>
      <c r="B10" t="inlineStr">
        <is>
          <t>%</t>
        </is>
      </c>
      <c r="D10" s="33">
        <f>$D$162</f>
        <v/>
      </c>
      <c r="E10" s="33">
        <f>$D$163</f>
        <v/>
      </c>
      <c r="F10" s="33">
        <f>$D$164</f>
        <v/>
      </c>
      <c r="G10" s="33">
        <f>$D$165</f>
        <v/>
      </c>
      <c r="H10" s="33">
        <f>INDEX(D10:G10,$E$4)</f>
        <v/>
      </c>
    </row>
    <row r="11">
      <c r="A11" s="21" t="inlineStr">
        <is>
          <t>KEY #3: 2027 Power EBITDA (units x EBITDA per unit)</t>
        </is>
      </c>
      <c r="B11" t="inlineStr">
        <is>
          <t>$M</t>
        </is>
      </c>
      <c r="D11" s="31">
        <f>Drivers!$D$264</f>
        <v/>
      </c>
      <c r="E11" s="31">
        <f>Drivers!$E$264</f>
        <v/>
      </c>
      <c r="F11" s="31">
        <f>Drivers!$F$264</f>
        <v/>
      </c>
      <c r="G11" s="31">
        <f>Drivers!$G$264</f>
        <v/>
      </c>
      <c r="H11" s="32">
        <f>INDEX(D11:G11,$E$4)</f>
        <v/>
      </c>
    </row>
    <row r="12">
      <c r="A12" s="5" t="inlineStr">
        <is>
          <t>Memo: 2027 segment EBITDA total</t>
        </is>
      </c>
      <c r="D12" s="34">
        <f>Drivers!$D$266</f>
        <v/>
      </c>
      <c r="E12" s="34">
        <f>Drivers!$E$266</f>
        <v/>
      </c>
      <c r="F12" s="34">
        <f>Drivers!$F$266</f>
        <v/>
      </c>
      <c r="G12" s="34">
        <f>Drivers!$G$266</f>
        <v/>
      </c>
      <c r="H12" s="35">
        <f>INDEX(D12:G12,$E$4)</f>
        <v/>
      </c>
    </row>
    <row r="13"/>
    <row r="14"/>
    <row r="15"/>
    <row r="16">
      <c r="A16" s="10" t="inlineStr">
        <is>
          <t>0. General constants</t>
        </is>
      </c>
      <c r="B16" s="11" t="n"/>
      <c r="C16" s="11" t="n"/>
      <c r="D16" s="11" t="n"/>
      <c r="E16" s="11" t="n"/>
      <c r="F16" s="11" t="n"/>
      <c r="G16" s="11" t="n"/>
      <c r="H16" s="11" t="n"/>
      <c r="I16" s="11" t="n"/>
      <c r="J16" s="11" t="n"/>
      <c r="K16" s="11" t="n"/>
      <c r="L16" s="11" t="n"/>
      <c r="M16" s="11" t="n"/>
    </row>
    <row r="17">
      <c r="A17" s="29" t="inlineStr">
        <is>
          <t>Driver</t>
        </is>
      </c>
      <c r="B17" s="30" t="inlineStr">
        <is>
          <t>Unit</t>
        </is>
      </c>
      <c r="C17" s="30" t="inlineStr">
        <is>
          <t>Q2'26A</t>
        </is>
      </c>
      <c r="D17" s="30" t="inlineStr">
        <is>
          <t>Q3'26E</t>
        </is>
      </c>
      <c r="E17" s="30" t="inlineStr">
        <is>
          <t>Q4'26E</t>
        </is>
      </c>
      <c r="F17" s="30" t="inlineStr">
        <is>
          <t>Q1'27E</t>
        </is>
      </c>
      <c r="G17" s="30" t="inlineStr">
        <is>
          <t>Q2'27E</t>
        </is>
      </c>
      <c r="H17" s="30" t="inlineStr">
        <is>
          <t>Q3'27E</t>
        </is>
      </c>
      <c r="I17" s="30" t="inlineStr">
        <is>
          <t>Q4'27E</t>
        </is>
      </c>
      <c r="J17" s="30" t="inlineStr">
        <is>
          <t>FY2028E</t>
        </is>
      </c>
      <c r="K17" s="30" t="inlineStr">
        <is>
          <t>FY2029E</t>
        </is>
      </c>
      <c r="L17" s="30" t="inlineStr">
        <is>
          <t>FY2030E</t>
        </is>
      </c>
      <c r="M17" s="36" t="inlineStr">
        <is>
          <t>Source / rationale</t>
        </is>
      </c>
    </row>
    <row r="18">
      <c r="A18" s="5" t="inlineStr">
        <is>
          <t>Quarters per year</t>
        </is>
      </c>
      <c r="B18" s="37" t="inlineStr">
        <is>
          <t>#</t>
        </is>
      </c>
      <c r="D18" s="38" t="n">
        <v>4</v>
      </c>
      <c r="M18" s="39" t="inlineStr">
        <is>
          <t>Calendar constant</t>
        </is>
      </c>
    </row>
    <row r="19">
      <c r="A19" s="5" t="inlineStr">
        <is>
          <t>Days per quarter</t>
        </is>
      </c>
      <c r="B19" s="37" t="inlineStr">
        <is>
          <t>days</t>
        </is>
      </c>
      <c r="D19" s="40" t="n">
        <v>91.25</v>
      </c>
      <c r="M19" s="39" t="inlineStr">
        <is>
          <t>365/4</t>
        </is>
      </c>
    </row>
    <row r="20">
      <c r="A20" s="5" t="inlineStr">
        <is>
          <t>Days per year</t>
        </is>
      </c>
      <c r="B20" s="37" t="inlineStr">
        <is>
          <t>days</t>
        </is>
      </c>
      <c r="D20" s="38" t="n">
        <v>365</v>
      </c>
      <c r="M20" s="39" t="inlineStr">
        <is>
          <t>Calendar constant</t>
        </is>
      </c>
    </row>
    <row r="21">
      <c r="A21" s="5" t="inlineStr">
        <is>
          <t>Months per year</t>
        </is>
      </c>
      <c r="B21" s="37" t="inlineStr">
        <is>
          <t>months</t>
        </is>
      </c>
      <c r="D21" s="38" t="n">
        <v>12</v>
      </c>
      <c r="M21" s="39" t="inlineStr">
        <is>
          <t>Calendar constant</t>
        </is>
      </c>
    </row>
    <row r="22">
      <c r="A22" s="5" t="inlineStr">
        <is>
          <t>Quarters of actuals in 1H26</t>
        </is>
      </c>
      <c r="B22" s="37" t="inlineStr">
        <is>
          <t>#</t>
        </is>
      </c>
      <c r="D22" s="38" t="n">
        <v>2</v>
      </c>
      <c r="M22" s="39" t="inlineStr">
        <is>
          <t>Q1-26 and Q2-26 actuals</t>
        </is>
      </c>
    </row>
    <row r="23">
      <c r="A23" s="5" t="inlineStr">
        <is>
          <t>Preferred liquidation preference per share</t>
        </is>
      </c>
      <c r="B23" s="37" t="inlineStr">
        <is>
          <t>$</t>
        </is>
      </c>
      <c r="D23" s="41" t="n">
        <v>25</v>
      </c>
      <c r="M23" s="39" t="inlineStr">
        <is>
          <t>$25 per preferred share (balance_sheet.csv label)</t>
        </is>
      </c>
    </row>
    <row r="24">
      <c r="A24" s="10" t="inlineStr">
        <is>
          <t>1. Aerospace (SCI / MRE modules + products)</t>
        </is>
      </c>
      <c r="B24" s="11" t="n"/>
      <c r="C24" s="11" t="n"/>
      <c r="D24" s="11" t="n"/>
      <c r="E24" s="11" t="n"/>
      <c r="F24" s="11" t="n"/>
      <c r="G24" s="11" t="n"/>
      <c r="H24" s="11" t="n"/>
      <c r="I24" s="11" t="n"/>
      <c r="J24" s="11" t="n"/>
      <c r="K24" s="11" t="n"/>
      <c r="L24" s="11" t="n"/>
      <c r="M24" s="11" t="n"/>
    </row>
    <row r="25">
      <c r="A25" s="29" t="inlineStr">
        <is>
          <t>Driver</t>
        </is>
      </c>
      <c r="B25" s="30" t="inlineStr">
        <is>
          <t>Unit</t>
        </is>
      </c>
      <c r="C25" s="30" t="inlineStr">
        <is>
          <t>Q2'26A</t>
        </is>
      </c>
      <c r="D25" s="30" t="inlineStr">
        <is>
          <t>Q3'26E</t>
        </is>
      </c>
      <c r="E25" s="30" t="inlineStr">
        <is>
          <t>Q4'26E</t>
        </is>
      </c>
      <c r="F25" s="30" t="inlineStr">
        <is>
          <t>Q1'27E</t>
        </is>
      </c>
      <c r="G25" s="30" t="inlineStr">
        <is>
          <t>Q2'27E</t>
        </is>
      </c>
      <c r="H25" s="30" t="inlineStr">
        <is>
          <t>Q3'27E</t>
        </is>
      </c>
      <c r="I25" s="30" t="inlineStr">
        <is>
          <t>Q4'27E</t>
        </is>
      </c>
      <c r="J25" s="30" t="inlineStr">
        <is>
          <t>FY2028E</t>
        </is>
      </c>
      <c r="K25" s="30" t="inlineStr">
        <is>
          <t>FY2029E</t>
        </is>
      </c>
      <c r="L25" s="30" t="inlineStr">
        <is>
          <t>FY2030E</t>
        </is>
      </c>
      <c r="M25" s="36" t="inlineStr">
        <is>
          <t>Source / rationale</t>
        </is>
      </c>
    </row>
    <row r="26" ht="33.5" customHeight="1">
      <c r="A26" s="21" t="inlineStr">
        <is>
          <t>Modules produced and sold per quarter</t>
        </is>
      </c>
      <c r="B26" s="37" t="inlineStr">
        <is>
          <t>units</t>
        </is>
      </c>
      <c r="M26" s="39" t="inlineStr">
        <is>
          <t>KEY #1. 2027 totals Bear 1,350 / Base 1,500 / Bull 1,700 / Mgmt 1,700 per A_2027_guide_segment_build.csv. 2026 Mgmt total 1,200 (Q2-26 call). 2H26 splits are analyst assumptions (Q2-26 actual 296)</t>
        </is>
      </c>
    </row>
    <row r="27">
      <c r="A27" s="42" t="inlineStr">
        <is>
          <t>Bear</t>
        </is>
      </c>
      <c r="D27" s="43" t="n">
        <v>285</v>
      </c>
      <c r="E27" s="43" t="n">
        <v>295</v>
      </c>
      <c r="F27" s="43" t="n">
        <v>315</v>
      </c>
      <c r="G27" s="43" t="n">
        <v>330</v>
      </c>
      <c r="H27" s="43" t="n">
        <v>350</v>
      </c>
      <c r="I27" s="43" t="n">
        <v>355</v>
      </c>
    </row>
    <row r="28">
      <c r="A28" s="42" t="inlineStr">
        <is>
          <t>Base</t>
        </is>
      </c>
      <c r="D28" s="43" t="n">
        <v>305</v>
      </c>
      <c r="E28" s="43" t="n">
        <v>320</v>
      </c>
      <c r="F28" s="43" t="n">
        <v>355</v>
      </c>
      <c r="G28" s="43" t="n">
        <v>370</v>
      </c>
      <c r="H28" s="43" t="n">
        <v>385</v>
      </c>
      <c r="I28" s="43" t="n">
        <v>390</v>
      </c>
    </row>
    <row r="29">
      <c r="A29" s="42" t="inlineStr">
        <is>
          <t>Bull</t>
        </is>
      </c>
      <c r="D29" s="43" t="n">
        <v>315</v>
      </c>
      <c r="E29" s="43" t="n">
        <v>345</v>
      </c>
      <c r="F29" s="43" t="n">
        <v>400</v>
      </c>
      <c r="G29" s="43" t="n">
        <v>420</v>
      </c>
      <c r="H29" s="43" t="n">
        <v>435</v>
      </c>
      <c r="I29" s="43" t="n">
        <v>445</v>
      </c>
    </row>
    <row r="30">
      <c r="A30" s="42" t="inlineStr">
        <is>
          <t>Mgmt Guide</t>
        </is>
      </c>
      <c r="D30" s="43" t="n">
        <v>310</v>
      </c>
      <c r="E30" s="43" t="n">
        <v>330</v>
      </c>
      <c r="F30" s="43" t="n">
        <v>400</v>
      </c>
      <c r="G30" s="43" t="n">
        <v>420</v>
      </c>
      <c r="H30" s="43" t="n">
        <v>435</v>
      </c>
      <c r="I30" s="43" t="n">
        <v>445</v>
      </c>
    </row>
    <row r="31">
      <c r="A31" s="44" t="inlineStr">
        <is>
          <t>Selected scenario (live)</t>
        </is>
      </c>
      <c r="D31" s="45">
        <f>INDEX(D27:D30,$E$4)</f>
        <v/>
      </c>
      <c r="E31" s="45">
        <f>INDEX(E27:E30,$E$4)</f>
        <v/>
      </c>
      <c r="F31" s="45">
        <f>INDEX(F27:F30,$E$4)</f>
        <v/>
      </c>
      <c r="G31" s="45">
        <f>INDEX(G27:G30,$E$4)</f>
        <v/>
      </c>
      <c r="H31" s="45">
        <f>INDEX(H27:H30,$E$4)</f>
        <v/>
      </c>
      <c r="I31" s="45">
        <f>INDEX(I27:I30,$E$4)</f>
        <v/>
      </c>
    </row>
    <row r="32"/>
    <row r="33" ht="23" customHeight="1">
      <c r="A33" s="3" t="inlineStr">
        <is>
          <t>Module growth y/y (FY28-FY30)</t>
        </is>
      </c>
      <c r="B33" s="37" t="inlineStr">
        <is>
          <t>%</t>
        </is>
      </c>
      <c r="M33" s="39" t="inlineStr">
        <is>
          <t>ASSUMPTION: guidance ends 2027. Mgmt Guide FY28+ set equal to Bull. Rationale: 3,000-module physical capacity, GE shop-visit demand ~2,400/yr</t>
        </is>
      </c>
    </row>
    <row r="34">
      <c r="A34" s="42" t="inlineStr">
        <is>
          <t>Bear</t>
        </is>
      </c>
      <c r="J34" s="46" t="n">
        <v>0.03</v>
      </c>
      <c r="K34" s="46" t="n">
        <v>0.03</v>
      </c>
      <c r="L34" s="46" t="n">
        <v>0.03</v>
      </c>
    </row>
    <row r="35">
      <c r="A35" s="42" t="inlineStr">
        <is>
          <t>Base</t>
        </is>
      </c>
      <c r="J35" s="46" t="n">
        <v>0.08</v>
      </c>
      <c r="K35" s="46" t="n">
        <v>0.06</v>
      </c>
      <c r="L35" s="46" t="n">
        <v>0.05</v>
      </c>
    </row>
    <row r="36">
      <c r="A36" s="42" t="inlineStr">
        <is>
          <t>Bull</t>
        </is>
      </c>
      <c r="J36" s="46" t="n">
        <v>0.12</v>
      </c>
      <c r="K36" s="46" t="n">
        <v>0.1</v>
      </c>
      <c r="L36" s="46" t="n">
        <v>0.08</v>
      </c>
    </row>
    <row r="37">
      <c r="A37" s="42" t="inlineStr">
        <is>
          <t>Mgmt Guide</t>
        </is>
      </c>
      <c r="J37" s="46" t="n">
        <v>0.12</v>
      </c>
      <c r="K37" s="46" t="n">
        <v>0.1</v>
      </c>
      <c r="L37" s="46" t="n">
        <v>0.08</v>
      </c>
    </row>
    <row r="38">
      <c r="A38" s="44" t="inlineStr">
        <is>
          <t>Selected scenario (live)</t>
        </is>
      </c>
      <c r="J38" s="16">
        <f>INDEX(J34:J37,$E$4)</f>
        <v/>
      </c>
      <c r="K38" s="16">
        <f>INDEX(K34:K37,$E$4)</f>
        <v/>
      </c>
      <c r="L38" s="16">
        <f>INDEX(L34:L37,$E$4)</f>
        <v/>
      </c>
    </row>
    <row r="39"/>
    <row r="40">
      <c r="A40" s="3" t="inlineStr">
        <is>
          <t>Aerospace revenue per module (products + MRE)</t>
        </is>
      </c>
      <c r="B40" s="37" t="inlineStr">
        <is>
          <t>$M</t>
        </is>
      </c>
      <c r="D40" s="47" t="n">
        <v>2.96</v>
      </c>
      <c r="E40" s="47" t="n">
        <v>2.96</v>
      </c>
      <c r="F40" s="47" t="n">
        <v>2.96</v>
      </c>
      <c r="G40" s="47" t="n">
        <v>2.96</v>
      </c>
      <c r="H40" s="47" t="n">
        <v>2.96</v>
      </c>
      <c r="I40" s="47" t="n">
        <v>2.96</v>
      </c>
      <c r="M40" s="39" t="inlineStr">
        <is>
          <t>Q2-26 actual: 875.0 segment revenue / 296 modules = 2.956 (A_2027_guide.md uses ~2.96)</t>
        </is>
      </c>
    </row>
    <row r="41"/>
    <row r="42">
      <c r="A42" s="3" t="inlineStr">
        <is>
          <t>Revenue per module growth y/y (FY28-FY30)</t>
        </is>
      </c>
      <c r="B42" s="37" t="inlineStr">
        <is>
          <t>%</t>
        </is>
      </c>
      <c r="J42" s="46" t="n">
        <v>0</v>
      </c>
      <c r="K42" s="46" t="n">
        <v>0</v>
      </c>
      <c r="L42" s="46" t="n">
        <v>0</v>
      </c>
      <c r="M42" s="39" t="inlineStr">
        <is>
          <t>ASSUMPTION: flat pricing/mix</t>
        </is>
      </c>
    </row>
    <row r="43"/>
    <row r="44" ht="23" customHeight="1">
      <c r="A44" s="21" t="inlineStr">
        <is>
          <t>Aerospace EBITDA per module</t>
        </is>
      </c>
      <c r="B44" s="37" t="inlineStr">
        <is>
          <t>$M</t>
        </is>
      </c>
      <c r="M44" s="39" t="inlineStr">
        <is>
          <t>2027: Bear 0.78 / Base 0.82 / Bull 0.84 per A segment build (rounded to land 1,050 / 1,230 / 1,430); Mgmt 0.8235 = 1,400/1,700. Mgmt 2H26 0.9027 solves to 1,050 FY26 guide. Q2-26 actual 0.84</t>
        </is>
      </c>
    </row>
    <row r="45">
      <c r="A45" s="42" t="inlineStr">
        <is>
          <t>Bear</t>
        </is>
      </c>
      <c r="D45" s="48" t="n">
        <v>0.8</v>
      </c>
      <c r="E45" s="48" t="n">
        <v>0.8</v>
      </c>
      <c r="F45" s="48" t="n">
        <v>0.7778</v>
      </c>
      <c r="G45" s="48" t="n">
        <v>0.7778</v>
      </c>
      <c r="H45" s="48" t="n">
        <v>0.7778</v>
      </c>
      <c r="I45" s="48" t="n">
        <v>0.7778</v>
      </c>
    </row>
    <row r="46">
      <c r="A46" s="42" t="inlineStr">
        <is>
          <t>Base</t>
        </is>
      </c>
      <c r="D46" s="48" t="n">
        <v>0.84</v>
      </c>
      <c r="E46" s="48" t="n">
        <v>0.84</v>
      </c>
      <c r="F46" s="48" t="n">
        <v>0.82</v>
      </c>
      <c r="G46" s="48" t="n">
        <v>0.82</v>
      </c>
      <c r="H46" s="48" t="n">
        <v>0.82</v>
      </c>
      <c r="I46" s="48" t="n">
        <v>0.82</v>
      </c>
    </row>
    <row r="47">
      <c r="A47" s="42" t="inlineStr">
        <is>
          <t>Bull</t>
        </is>
      </c>
      <c r="D47" s="48" t="n">
        <v>0.86</v>
      </c>
      <c r="E47" s="48" t="n">
        <v>0.88</v>
      </c>
      <c r="F47" s="48" t="n">
        <v>0.8411999999999999</v>
      </c>
      <c r="G47" s="48" t="n">
        <v>0.8411999999999999</v>
      </c>
      <c r="H47" s="48" t="n">
        <v>0.8411999999999999</v>
      </c>
      <c r="I47" s="48" t="n">
        <v>0.8411999999999999</v>
      </c>
    </row>
    <row r="48">
      <c r="A48" s="42" t="inlineStr">
        <is>
          <t>Mgmt Guide</t>
        </is>
      </c>
      <c r="D48" s="48" t="n">
        <v>0.9026999999999999</v>
      </c>
      <c r="E48" s="48" t="n">
        <v>0.9026999999999999</v>
      </c>
      <c r="F48" s="48" t="n">
        <v>0.8235</v>
      </c>
      <c r="G48" s="48" t="n">
        <v>0.8235</v>
      </c>
      <c r="H48" s="48" t="n">
        <v>0.8235</v>
      </c>
      <c r="I48" s="48" t="n">
        <v>0.8235</v>
      </c>
    </row>
    <row r="49">
      <c r="A49" s="44" t="inlineStr">
        <is>
          <t>Selected scenario (live)</t>
        </is>
      </c>
      <c r="D49" s="49">
        <f>INDEX(D45:D48,$E$4)</f>
        <v/>
      </c>
      <c r="E49" s="49">
        <f>INDEX(E45:E48,$E$4)</f>
        <v/>
      </c>
      <c r="F49" s="49">
        <f>INDEX(F45:F48,$E$4)</f>
        <v/>
      </c>
      <c r="G49" s="49">
        <f>INDEX(G45:G48,$E$4)</f>
        <v/>
      </c>
      <c r="H49" s="49">
        <f>INDEX(H45:H48,$E$4)</f>
        <v/>
      </c>
      <c r="I49" s="49">
        <f>INDEX(I45:I48,$E$4)</f>
        <v/>
      </c>
    </row>
    <row r="50"/>
    <row r="51">
      <c r="A51" s="3" t="inlineStr">
        <is>
          <t>MRE share of Aerospace revenue</t>
        </is>
      </c>
      <c r="B51" s="37" t="inlineStr">
        <is>
          <t>%</t>
        </is>
      </c>
      <c r="D51" s="46" t="n">
        <v>0.22</v>
      </c>
      <c r="E51" s="46" t="n">
        <v>0.22</v>
      </c>
      <c r="F51" s="46" t="n">
        <v>0.22</v>
      </c>
      <c r="G51" s="46" t="n">
        <v>0.22</v>
      </c>
      <c r="H51" s="46" t="n">
        <v>0.22</v>
      </c>
      <c r="I51" s="46" t="n">
        <v>0.22</v>
      </c>
      <c r="J51" s="46" t="n">
        <v>0.2</v>
      </c>
      <c r="K51" s="46" t="n">
        <v>0.2</v>
      </c>
      <c r="L51" s="46" t="n">
        <v>0.2</v>
      </c>
      <c r="M51" s="39" t="inlineStr">
        <is>
          <t>Q2-26 actual 20.9%; 1H26 25.0%; FY25 17.3%. ASSUMPTION: 22% 2H26-2027, 20% after</t>
        </is>
      </c>
    </row>
    <row r="52"/>
    <row r="53" ht="23" customHeight="1">
      <c r="A53" s="3" t="inlineStr">
        <is>
          <t>Aerospace margin cap (economies of scale limit)</t>
        </is>
      </c>
      <c r="B53" s="37" t="inlineStr">
        <is>
          <t>%</t>
        </is>
      </c>
      <c r="M53" s="39" t="inlineStr">
        <is>
          <t>ASSUMPTION: margin cannot exceed cap. Mgmt now guides ~30% near term (walked back from 40% target)</t>
        </is>
      </c>
    </row>
    <row r="54">
      <c r="A54" s="42" t="inlineStr">
        <is>
          <t>Bear</t>
        </is>
      </c>
      <c r="D54" s="46" t="n">
        <v>0.28</v>
      </c>
    </row>
    <row r="55">
      <c r="A55" s="42" t="inlineStr">
        <is>
          <t>Base</t>
        </is>
      </c>
      <c r="D55" s="46" t="n">
        <v>0.31</v>
      </c>
    </row>
    <row r="56">
      <c r="A56" s="42" t="inlineStr">
        <is>
          <t>Bull</t>
        </is>
      </c>
      <c r="D56" s="46" t="n">
        <v>0.33</v>
      </c>
    </row>
    <row r="57">
      <c r="A57" s="42" t="inlineStr">
        <is>
          <t>Mgmt Guide</t>
        </is>
      </c>
      <c r="D57" s="46" t="n">
        <v>0.31</v>
      </c>
    </row>
    <row r="58">
      <c r="A58" s="44" t="inlineStr">
        <is>
          <t>Selected scenario (live)</t>
        </is>
      </c>
      <c r="D58" s="16">
        <f>INDEX(D54:D57,$E$4)</f>
        <v/>
      </c>
    </row>
    <row r="59"/>
    <row r="60" ht="23" customHeight="1">
      <c r="A60" s="5" t="inlineStr">
        <is>
          <t>Scale elasticity: margin points gained per 1 point of volume growth</t>
        </is>
      </c>
      <c r="B60" s="37" t="inlineStr">
        <is>
          <t>pp/pp</t>
        </is>
      </c>
      <c r="D60" s="50" t="n">
        <v>0.1</v>
      </c>
      <c r="M60" s="39" t="inlineStr">
        <is>
          <t>ASSUMPTION: +10% module volume adds +1.0pp margin, up to the cap (competition tip on economies of scale)</t>
        </is>
      </c>
    </row>
    <row r="61">
      <c r="A61" s="10" t="inlineStr">
        <is>
          <t>2. Power (J&amp;F JV, equity-accounted; Adj. EBITDA includes pro-rata share)</t>
        </is>
      </c>
      <c r="B61" s="11" t="n"/>
      <c r="C61" s="11" t="n"/>
      <c r="D61" s="11" t="n"/>
      <c r="E61" s="11" t="n"/>
      <c r="F61" s="11" t="n"/>
      <c r="G61" s="11" t="n"/>
      <c r="H61" s="11" t="n"/>
      <c r="I61" s="11" t="n"/>
      <c r="J61" s="11" t="n"/>
      <c r="K61" s="11" t="n"/>
      <c r="L61" s="11" t="n"/>
      <c r="M61" s="11" t="n"/>
    </row>
    <row r="62">
      <c r="A62" s="29" t="inlineStr">
        <is>
          <t>Driver</t>
        </is>
      </c>
      <c r="B62" s="30" t="inlineStr">
        <is>
          <t>Unit</t>
        </is>
      </c>
      <c r="C62" s="30" t="inlineStr">
        <is>
          <t>Q2'26A</t>
        </is>
      </c>
      <c r="D62" s="30" t="inlineStr">
        <is>
          <t>Q3'26E</t>
        </is>
      </c>
      <c r="E62" s="30" t="inlineStr">
        <is>
          <t>Q4'26E</t>
        </is>
      </c>
      <c r="F62" s="30" t="inlineStr">
        <is>
          <t>Q1'27E</t>
        </is>
      </c>
      <c r="G62" s="30" t="inlineStr">
        <is>
          <t>Q2'27E</t>
        </is>
      </c>
      <c r="H62" s="30" t="inlineStr">
        <is>
          <t>Q3'27E</t>
        </is>
      </c>
      <c r="I62" s="30" t="inlineStr">
        <is>
          <t>Q4'27E</t>
        </is>
      </c>
      <c r="J62" s="30" t="inlineStr">
        <is>
          <t>FY2028E</t>
        </is>
      </c>
      <c r="K62" s="30" t="inlineStr">
        <is>
          <t>FY2029E</t>
        </is>
      </c>
      <c r="L62" s="30" t="inlineStr">
        <is>
          <t>FY2030E</t>
        </is>
      </c>
      <c r="M62" s="36" t="inlineStr">
        <is>
          <t>Source / rationale</t>
        </is>
      </c>
    </row>
    <row r="63" ht="33.5" customHeight="1">
      <c r="A63" s="21" t="inlineStr">
        <is>
          <t>Power units delivered per quarter (FY28-30: per year)</t>
        </is>
      </c>
      <c r="B63" s="37" t="inlineStr">
        <is>
          <t>units</t>
        </is>
      </c>
      <c r="M63" s="39" t="inlineStr">
        <is>
          <t>KEY #3. A_2027_guide_segment_build.csv: Bear 20, Base 44, Bull 59 + ~20 add-on, Mgmt 450/7.5 = 60. 2026 = 0 (first delivery 'prudent to expect' 2027). Quarterly phasing is an assumption (batches run through Nov-2027)</t>
        </is>
      </c>
    </row>
    <row r="64">
      <c r="A64" s="42" t="inlineStr">
        <is>
          <t>Bear</t>
        </is>
      </c>
      <c r="D64" s="43" t="n">
        <v>0</v>
      </c>
      <c r="E64" s="43" t="n">
        <v>0</v>
      </c>
      <c r="F64" s="43" t="n">
        <v>0</v>
      </c>
      <c r="G64" s="43" t="n">
        <v>4</v>
      </c>
      <c r="H64" s="43" t="n">
        <v>8</v>
      </c>
      <c r="I64" s="43" t="n">
        <v>8</v>
      </c>
      <c r="J64" s="43" t="n">
        <v>40</v>
      </c>
      <c r="K64" s="43" t="n">
        <v>50</v>
      </c>
      <c r="L64" s="43" t="n">
        <v>50</v>
      </c>
    </row>
    <row r="65">
      <c r="A65" s="42" t="inlineStr">
        <is>
          <t>Base</t>
        </is>
      </c>
      <c r="D65" s="43" t="n">
        <v>0</v>
      </c>
      <c r="E65" s="43" t="n">
        <v>0</v>
      </c>
      <c r="F65" s="43" t="n">
        <v>4</v>
      </c>
      <c r="G65" s="43" t="n">
        <v>10</v>
      </c>
      <c r="H65" s="43" t="n">
        <v>14</v>
      </c>
      <c r="I65" s="43" t="n">
        <v>16</v>
      </c>
      <c r="J65" s="43" t="n">
        <v>70</v>
      </c>
      <c r="K65" s="43" t="n">
        <v>80</v>
      </c>
      <c r="L65" s="43" t="n">
        <v>90</v>
      </c>
    </row>
    <row r="66">
      <c r="A66" s="42" t="inlineStr">
        <is>
          <t>Bull</t>
        </is>
      </c>
      <c r="D66" s="43" t="n">
        <v>0</v>
      </c>
      <c r="E66" s="43" t="n">
        <v>0</v>
      </c>
      <c r="F66" s="43" t="n">
        <v>10</v>
      </c>
      <c r="G66" s="43" t="n">
        <v>18</v>
      </c>
      <c r="H66" s="43" t="n">
        <v>24</v>
      </c>
      <c r="I66" s="43" t="n">
        <v>28</v>
      </c>
      <c r="J66" s="43" t="n">
        <v>100</v>
      </c>
      <c r="K66" s="43" t="n">
        <v>100</v>
      </c>
      <c r="L66" s="43" t="n">
        <v>100</v>
      </c>
    </row>
    <row r="67">
      <c r="A67" s="42" t="inlineStr">
        <is>
          <t>Mgmt Guide</t>
        </is>
      </c>
      <c r="D67" s="43" t="n">
        <v>0</v>
      </c>
      <c r="E67" s="43" t="n">
        <v>0</v>
      </c>
      <c r="F67" s="43" t="n">
        <v>6</v>
      </c>
      <c r="G67" s="43" t="n">
        <v>14</v>
      </c>
      <c r="H67" s="43" t="n">
        <v>19</v>
      </c>
      <c r="I67" s="43" t="n">
        <v>21</v>
      </c>
      <c r="J67" s="43" t="n">
        <v>80</v>
      </c>
      <c r="K67" s="43" t="n">
        <v>100</v>
      </c>
      <c r="L67" s="43" t="n">
        <v>100</v>
      </c>
    </row>
    <row r="68">
      <c r="A68" s="44" t="inlineStr">
        <is>
          <t>Selected scenario (live)</t>
        </is>
      </c>
      <c r="D68" s="45">
        <f>INDEX(D64:D67,$E$4)</f>
        <v/>
      </c>
      <c r="E68" s="45">
        <f>INDEX(E64:E67,$E$4)</f>
        <v/>
      </c>
      <c r="F68" s="45">
        <f>INDEX(F64:F67,$E$4)</f>
        <v/>
      </c>
      <c r="G68" s="45">
        <f>INDEX(G64:G67,$E$4)</f>
        <v/>
      </c>
      <c r="H68" s="45">
        <f>INDEX(H64:H67,$E$4)</f>
        <v/>
      </c>
      <c r="I68" s="45">
        <f>INDEX(I64:I67,$E$4)</f>
        <v/>
      </c>
      <c r="J68" s="45">
        <f>INDEX(J64:J67,$E$4)</f>
        <v/>
      </c>
      <c r="K68" s="45">
        <f>INDEX(K64:K67,$E$4)</f>
        <v/>
      </c>
      <c r="L68" s="45">
        <f>INDEX(L64:L67,$E$4)</f>
        <v/>
      </c>
    </row>
    <row r="69"/>
    <row r="70" ht="23" customHeight="1">
      <c r="A70" s="21" t="inlineStr">
        <is>
          <t>Power EBITDA per unit (pro-rata)</t>
        </is>
      </c>
      <c r="B70" s="37" t="inlineStr">
        <is>
          <t>$M</t>
        </is>
      </c>
      <c r="M70" s="39" t="inlineStr">
        <is>
          <t>UNVERIFIED secondary source ($7-8M per unit; $1M/MW x 25MW). Held at 7.5 in all scenarios so the units drive the spread (per A segment build)</t>
        </is>
      </c>
    </row>
    <row r="71">
      <c r="A71" s="42" t="inlineStr">
        <is>
          <t>Bear</t>
        </is>
      </c>
      <c r="D71" s="51" t="n">
        <v>7.5</v>
      </c>
      <c r="E71" s="51" t="n">
        <v>7.5</v>
      </c>
      <c r="F71" s="51" t="n">
        <v>7.5</v>
      </c>
      <c r="G71" s="51" t="n">
        <v>7.5</v>
      </c>
      <c r="H71" s="51" t="n">
        <v>7.5</v>
      </c>
      <c r="I71" s="51" t="n">
        <v>7.5</v>
      </c>
      <c r="J71" s="51" t="n">
        <v>7.5</v>
      </c>
      <c r="K71" s="51" t="n">
        <v>7.5</v>
      </c>
      <c r="L71" s="51" t="n">
        <v>7.5</v>
      </c>
    </row>
    <row r="72">
      <c r="A72" s="42" t="inlineStr">
        <is>
          <t>Base</t>
        </is>
      </c>
      <c r="D72" s="51" t="n">
        <v>7.5</v>
      </c>
      <c r="E72" s="51" t="n">
        <v>7.5</v>
      </c>
      <c r="F72" s="51" t="n">
        <v>7.5</v>
      </c>
      <c r="G72" s="51" t="n">
        <v>7.5</v>
      </c>
      <c r="H72" s="51" t="n">
        <v>7.5</v>
      </c>
      <c r="I72" s="51" t="n">
        <v>7.5</v>
      </c>
      <c r="J72" s="51" t="n">
        <v>7.5</v>
      </c>
      <c r="K72" s="51" t="n">
        <v>7.5</v>
      </c>
      <c r="L72" s="51" t="n">
        <v>7.5</v>
      </c>
    </row>
    <row r="73">
      <c r="A73" s="42" t="inlineStr">
        <is>
          <t>Bull</t>
        </is>
      </c>
      <c r="D73" s="51" t="n">
        <v>7.5</v>
      </c>
      <c r="E73" s="51" t="n">
        <v>7.5</v>
      </c>
      <c r="F73" s="51" t="n">
        <v>7.5</v>
      </c>
      <c r="G73" s="51" t="n">
        <v>7.5</v>
      </c>
      <c r="H73" s="51" t="n">
        <v>7.5</v>
      </c>
      <c r="I73" s="51" t="n">
        <v>7.5</v>
      </c>
      <c r="J73" s="51" t="n">
        <v>7.5</v>
      </c>
      <c r="K73" s="51" t="n">
        <v>7.5</v>
      </c>
      <c r="L73" s="51" t="n">
        <v>7.5</v>
      </c>
    </row>
    <row r="74">
      <c r="A74" s="42" t="inlineStr">
        <is>
          <t>Mgmt Guide</t>
        </is>
      </c>
      <c r="D74" s="51" t="n">
        <v>7.5</v>
      </c>
      <c r="E74" s="51" t="n">
        <v>7.5</v>
      </c>
      <c r="F74" s="51" t="n">
        <v>7.5</v>
      </c>
      <c r="G74" s="51" t="n">
        <v>7.5</v>
      </c>
      <c r="H74" s="51" t="n">
        <v>7.5</v>
      </c>
      <c r="I74" s="51" t="n">
        <v>7.5</v>
      </c>
      <c r="J74" s="51" t="n">
        <v>7.5</v>
      </c>
      <c r="K74" s="51" t="n">
        <v>7.5</v>
      </c>
      <c r="L74" s="51" t="n">
        <v>7.5</v>
      </c>
    </row>
    <row r="75">
      <c r="A75" s="44" t="inlineStr">
        <is>
          <t>Selected scenario (live)</t>
        </is>
      </c>
      <c r="D75" s="52">
        <f>INDEX(D71:D74,$E$4)</f>
        <v/>
      </c>
      <c r="E75" s="52">
        <f>INDEX(E71:E74,$E$4)</f>
        <v/>
      </c>
      <c r="F75" s="52">
        <f>INDEX(F71:F74,$E$4)</f>
        <v/>
      </c>
      <c r="G75" s="52">
        <f>INDEX(G71:G74,$E$4)</f>
        <v/>
      </c>
      <c r="H75" s="52">
        <f>INDEX(H71:H74,$E$4)</f>
        <v/>
      </c>
      <c r="I75" s="52">
        <f>INDEX(I71:I74,$E$4)</f>
        <v/>
      </c>
      <c r="J75" s="52">
        <f>INDEX(J71:J74,$E$4)</f>
        <v/>
      </c>
      <c r="K75" s="52">
        <f>INDEX(K71:K74,$E$4)</f>
        <v/>
      </c>
      <c r="L75" s="52">
        <f>INDEX(L71:L74,$E$4)</f>
        <v/>
      </c>
    </row>
    <row r="76"/>
    <row r="77">
      <c r="A77" s="5" t="inlineStr">
        <is>
          <t>Power revenue per unit to FTAI (turbine sale to JV)</t>
        </is>
      </c>
      <c r="B77" s="37" t="inlineStr">
        <is>
          <t>$M</t>
        </is>
      </c>
      <c r="D77" s="40" t="n">
        <v>25</v>
      </c>
      <c r="M77" s="39" t="inlineStr">
        <is>
          <t>UNVERIFIED: ~$1M per MW x 25 MW (secondary). Used for revenue memo only</t>
        </is>
      </c>
    </row>
    <row r="78">
      <c r="A78" s="5" t="inlineStr">
        <is>
          <t>Power turbine cost per unit (working-capital investment)</t>
        </is>
      </c>
      <c r="B78" s="37" t="inlineStr">
        <is>
          <t>$M</t>
        </is>
      </c>
      <c r="D78" s="40" t="n">
        <v>17.5</v>
      </c>
      <c r="M78" s="39" t="inlineStr">
        <is>
          <t>ASSUMPTION = price less EBITDA per unit (25 - 7.5). Funded one quarter ahead of delivery</t>
        </is>
      </c>
    </row>
    <row r="79">
      <c r="A79" s="5" t="inlineStr">
        <is>
          <t>Power: share of EBITDA that is cash in CFO</t>
        </is>
      </c>
      <c r="B79" s="37" t="inlineStr">
        <is>
          <t>%</t>
        </is>
      </c>
      <c r="D79" s="46" t="n">
        <v>0.75</v>
      </c>
      <c r="M79" s="39" t="inlineStr">
        <is>
          <t>ASSUMPTION (invented): pro-rata JV earnings are non-cash until distributed; 25% haircut</t>
        </is>
      </c>
    </row>
    <row r="80" ht="23" customHeight="1">
      <c r="A80" s="5" t="inlineStr">
        <is>
          <t>Power: share of EBITDA that reaches pre-tax income</t>
        </is>
      </c>
      <c r="B80" s="37" t="inlineStr">
        <is>
          <t>%</t>
        </is>
      </c>
      <c r="D80" s="46" t="n">
        <v>0.75</v>
      </c>
      <c r="M80" s="39" t="inlineStr">
        <is>
          <t>ASSUMPTION (invented): JV-level D&amp;A/interest/tax absorb 25% of pro-rata EBITDA. Moves Bull EPS materially</t>
        </is>
      </c>
    </row>
    <row r="81">
      <c r="A81" s="10" t="inlineStr">
        <is>
          <t>3. Leasing (book run-off, SCI fees and co-investment returns)</t>
        </is>
      </c>
      <c r="B81" s="11" t="n"/>
      <c r="C81" s="11" t="n"/>
      <c r="D81" s="11" t="n"/>
      <c r="E81" s="11" t="n"/>
      <c r="F81" s="11" t="n"/>
      <c r="G81" s="11" t="n"/>
      <c r="H81" s="11" t="n"/>
      <c r="I81" s="11" t="n"/>
      <c r="J81" s="11" t="n"/>
      <c r="K81" s="11" t="n"/>
      <c r="L81" s="11" t="n"/>
      <c r="M81" s="11" t="n"/>
    </row>
    <row r="82">
      <c r="A82" s="29" t="inlineStr">
        <is>
          <t>Driver</t>
        </is>
      </c>
      <c r="B82" s="30" t="inlineStr">
        <is>
          <t>Unit</t>
        </is>
      </c>
      <c r="C82" s="30" t="inlineStr">
        <is>
          <t>Q2'26A</t>
        </is>
      </c>
      <c r="D82" s="30" t="inlineStr">
        <is>
          <t>Q3'26E</t>
        </is>
      </c>
      <c r="E82" s="30" t="inlineStr">
        <is>
          <t>Q4'26E</t>
        </is>
      </c>
      <c r="F82" s="30" t="inlineStr">
        <is>
          <t>Q1'27E</t>
        </is>
      </c>
      <c r="G82" s="30" t="inlineStr">
        <is>
          <t>Q2'27E</t>
        </is>
      </c>
      <c r="H82" s="30" t="inlineStr">
        <is>
          <t>Q3'27E</t>
        </is>
      </c>
      <c r="I82" s="30" t="inlineStr">
        <is>
          <t>Q4'27E</t>
        </is>
      </c>
      <c r="J82" s="30" t="inlineStr">
        <is>
          <t>FY2028E</t>
        </is>
      </c>
      <c r="K82" s="30" t="inlineStr">
        <is>
          <t>FY2029E</t>
        </is>
      </c>
      <c r="L82" s="30" t="inlineStr">
        <is>
          <t>FY2030E</t>
        </is>
      </c>
      <c r="M82" s="36" t="inlineStr">
        <is>
          <t>Source / rationale</t>
        </is>
      </c>
    </row>
    <row r="83" ht="33.5" customHeight="1">
      <c r="A83" s="3" t="inlineStr">
        <is>
          <t>Leasing book value sold (per quarter; FY28-30 per year)</t>
        </is>
      </c>
      <c r="B83" s="37" t="inlineStr">
        <is>
          <t>$M</t>
        </is>
      </c>
      <c r="M83" s="39" t="inlineStr">
        <is>
          <t>ASSUMPTION calibrated so segment Leasing EBITDA lands on A's 2027 targets (270/360/450/450) and the 2026 guide (475). Book was 1,146 at 6/30/26 (22 aircraft, 176 engines); balance-sheet check on Checks tab</t>
        </is>
      </c>
    </row>
    <row r="84">
      <c r="A84" s="42" t="inlineStr">
        <is>
          <t>Bear</t>
        </is>
      </c>
      <c r="D84" s="40" t="n">
        <v>100</v>
      </c>
      <c r="E84" s="40" t="n">
        <v>80</v>
      </c>
      <c r="F84" s="40" t="n">
        <v>70</v>
      </c>
      <c r="G84" s="40" t="n">
        <v>60</v>
      </c>
      <c r="H84" s="40" t="n">
        <v>50</v>
      </c>
      <c r="I84" s="40" t="n">
        <v>40</v>
      </c>
      <c r="J84" s="40" t="n">
        <v>150</v>
      </c>
      <c r="K84" s="40" t="n">
        <v>100</v>
      </c>
      <c r="L84" s="40" t="n">
        <v>75</v>
      </c>
    </row>
    <row r="85">
      <c r="A85" s="42" t="inlineStr">
        <is>
          <t>Base</t>
        </is>
      </c>
      <c r="D85" s="40" t="n">
        <v>150</v>
      </c>
      <c r="E85" s="40" t="n">
        <v>130</v>
      </c>
      <c r="F85" s="40" t="n">
        <v>110</v>
      </c>
      <c r="G85" s="40" t="n">
        <v>100</v>
      </c>
      <c r="H85" s="40" t="n">
        <v>90</v>
      </c>
      <c r="I85" s="40" t="n">
        <v>80</v>
      </c>
      <c r="J85" s="40" t="n">
        <v>250</v>
      </c>
      <c r="K85" s="40" t="n">
        <v>150</v>
      </c>
      <c r="L85" s="40" t="n">
        <v>100</v>
      </c>
    </row>
    <row r="86">
      <c r="A86" s="42" t="inlineStr">
        <is>
          <t>Bull</t>
        </is>
      </c>
      <c r="D86" s="40" t="n">
        <v>170</v>
      </c>
      <c r="E86" s="40" t="n">
        <v>150</v>
      </c>
      <c r="F86" s="40" t="n">
        <v>130</v>
      </c>
      <c r="G86" s="40" t="n">
        <v>120</v>
      </c>
      <c r="H86" s="40" t="n">
        <v>110</v>
      </c>
      <c r="I86" s="40" t="n">
        <v>100</v>
      </c>
      <c r="J86" s="40" t="n">
        <v>200</v>
      </c>
      <c r="K86" s="40" t="n">
        <v>100</v>
      </c>
      <c r="L86" s="40" t="n">
        <v>50</v>
      </c>
    </row>
    <row r="87">
      <c r="A87" s="42" t="inlineStr">
        <is>
          <t>Mgmt Guide</t>
        </is>
      </c>
      <c r="D87" s="40" t="n">
        <v>170</v>
      </c>
      <c r="E87" s="40" t="n">
        <v>150</v>
      </c>
      <c r="F87" s="40" t="n">
        <v>130</v>
      </c>
      <c r="G87" s="40" t="n">
        <v>120</v>
      </c>
      <c r="H87" s="40" t="n">
        <v>110</v>
      </c>
      <c r="I87" s="40" t="n">
        <v>100</v>
      </c>
      <c r="J87" s="40" t="n">
        <v>200</v>
      </c>
      <c r="K87" s="40" t="n">
        <v>100</v>
      </c>
      <c r="L87" s="40" t="n">
        <v>50</v>
      </c>
    </row>
    <row r="88">
      <c r="A88" s="44" t="inlineStr">
        <is>
          <t>Selected scenario (live)</t>
        </is>
      </c>
      <c r="D88" s="35">
        <f>INDEX(D84:D87,$E$4)</f>
        <v/>
      </c>
      <c r="E88" s="35">
        <f>INDEX(E84:E87,$E$4)</f>
        <v/>
      </c>
      <c r="F88" s="35">
        <f>INDEX(F84:F87,$E$4)</f>
        <v/>
      </c>
      <c r="G88" s="35">
        <f>INDEX(G84:G87,$E$4)</f>
        <v/>
      </c>
      <c r="H88" s="35">
        <f>INDEX(H84:H87,$E$4)</f>
        <v/>
      </c>
      <c r="I88" s="35">
        <f>INDEX(I84:I87,$E$4)</f>
        <v/>
      </c>
      <c r="J88" s="35">
        <f>INDEX(J84:J87,$E$4)</f>
        <v/>
      </c>
      <c r="K88" s="35">
        <f>INDEX(K84:K87,$E$4)</f>
        <v/>
      </c>
      <c r="L88" s="35">
        <f>INDEX(L84:L87,$E$4)</f>
        <v/>
      </c>
    </row>
    <row r="89"/>
    <row r="90" ht="23" customHeight="1">
      <c r="A90" s="5" t="inlineStr">
        <is>
          <t>Gain on sale as % of book value sold</t>
        </is>
      </c>
      <c r="B90" s="37" t="inlineStr">
        <is>
          <t>%</t>
        </is>
      </c>
      <c r="D90" s="46" t="n">
        <v>0.15</v>
      </c>
      <c r="M90" s="39" t="inlineStr">
        <is>
          <t>ASSUMPTION: Q2-26 'balance-sheet leasing and gains' $48M less ~$26M rent implies ~15% gains on ~$140M sold. 1H26 CFS gains $178M + $18M</t>
        </is>
      </c>
    </row>
    <row r="91" ht="23" customHeight="1">
      <c r="A91" s="5" t="inlineStr">
        <is>
          <t>Lease EBITDA yield on beginning book (annualised)</t>
        </is>
      </c>
      <c r="B91" s="37" t="inlineStr">
        <is>
          <t>%</t>
        </is>
      </c>
      <c r="D91" s="46" t="n">
        <v>0.08500000000000001</v>
      </c>
      <c r="M91" s="39" t="inlineStr">
        <is>
          <t>ASSUMPTION: ~$25M quarterly rent EBITDA on ~$1.2B book (lease income 27.8 + maintenance 25.8 less costs)</t>
        </is>
      </c>
    </row>
    <row r="92" ht="23" customHeight="1">
      <c r="A92" s="3" t="inlineStr">
        <is>
          <t>SCI total AUM (end of period; FY28-30 year-end)</t>
        </is>
      </c>
      <c r="B92" s="37" t="inlineStr">
        <is>
          <t>$M</t>
        </is>
      </c>
      <c r="M92" s="39" t="inlineStr">
        <is>
          <t>Q2'26A ~6,000: SCI I total capital ~$6.0B (thesis.md). SCI II targets $6B, deploys $2-3B in 2026-27 (bull). Growth path is an ASSUMPTION; servicing fee grows with AUM</t>
        </is>
      </c>
    </row>
    <row r="93">
      <c r="A93" s="42" t="inlineStr">
        <is>
          <t>Bear</t>
        </is>
      </c>
      <c r="C93" s="53" t="n">
        <v>6000</v>
      </c>
      <c r="D93" s="53" t="n">
        <v>6150</v>
      </c>
      <c r="E93" s="53" t="n">
        <v>6300</v>
      </c>
      <c r="F93" s="53" t="n">
        <v>6450</v>
      </c>
      <c r="G93" s="53" t="n">
        <v>6600</v>
      </c>
      <c r="H93" s="53" t="n">
        <v>6750</v>
      </c>
      <c r="I93" s="53" t="n">
        <v>6900</v>
      </c>
      <c r="J93" s="53" t="n">
        <v>7500</v>
      </c>
      <c r="K93" s="53" t="n">
        <v>8100</v>
      </c>
      <c r="L93" s="53" t="n">
        <v>8700</v>
      </c>
    </row>
    <row r="94">
      <c r="A94" s="42" t="inlineStr">
        <is>
          <t>Base</t>
        </is>
      </c>
      <c r="C94" s="53" t="n">
        <v>6000</v>
      </c>
      <c r="D94" s="53" t="n">
        <v>6300</v>
      </c>
      <c r="E94" s="53" t="n">
        <v>6600</v>
      </c>
      <c r="F94" s="53" t="n">
        <v>6900</v>
      </c>
      <c r="G94" s="53" t="n">
        <v>7200</v>
      </c>
      <c r="H94" s="53" t="n">
        <v>7500</v>
      </c>
      <c r="I94" s="53" t="n">
        <v>7800</v>
      </c>
      <c r="J94" s="53" t="n">
        <v>9000</v>
      </c>
      <c r="K94" s="53" t="n">
        <v>10200</v>
      </c>
      <c r="L94" s="53" t="n">
        <v>11400</v>
      </c>
    </row>
    <row r="95">
      <c r="A95" s="42" t="inlineStr">
        <is>
          <t>Bull</t>
        </is>
      </c>
      <c r="C95" s="53" t="n">
        <v>6000</v>
      </c>
      <c r="D95" s="53" t="n">
        <v>6450</v>
      </c>
      <c r="E95" s="53" t="n">
        <v>6900</v>
      </c>
      <c r="F95" s="53" t="n">
        <v>7350</v>
      </c>
      <c r="G95" s="53" t="n">
        <v>7800</v>
      </c>
      <c r="H95" s="53" t="n">
        <v>8250</v>
      </c>
      <c r="I95" s="53" t="n">
        <v>8700</v>
      </c>
      <c r="J95" s="53" t="n">
        <v>10500</v>
      </c>
      <c r="K95" s="53" t="n">
        <v>12000</v>
      </c>
      <c r="L95" s="53" t="n">
        <v>13500</v>
      </c>
    </row>
    <row r="96">
      <c r="A96" s="42" t="inlineStr">
        <is>
          <t>Mgmt Guide</t>
        </is>
      </c>
      <c r="C96" s="53" t="n">
        <v>6000</v>
      </c>
      <c r="D96" s="53" t="n">
        <v>6450</v>
      </c>
      <c r="E96" s="53" t="n">
        <v>6900</v>
      </c>
      <c r="F96" s="53" t="n">
        <v>7350</v>
      </c>
      <c r="G96" s="53" t="n">
        <v>7800</v>
      </c>
      <c r="H96" s="53" t="n">
        <v>8250</v>
      </c>
      <c r="I96" s="53" t="n">
        <v>8700</v>
      </c>
      <c r="J96" s="53" t="n">
        <v>10500</v>
      </c>
      <c r="K96" s="53" t="n">
        <v>12000</v>
      </c>
      <c r="L96" s="53" t="n">
        <v>13500</v>
      </c>
    </row>
    <row r="97">
      <c r="A97" s="44" t="inlineStr">
        <is>
          <t>Selected scenario (live)</t>
        </is>
      </c>
      <c r="C97" s="45">
        <f>INDEX(C93:C96,$E$4)</f>
        <v/>
      </c>
      <c r="D97" s="45">
        <f>INDEX(D93:D96,$E$4)</f>
        <v/>
      </c>
      <c r="E97" s="45">
        <f>INDEX(E93:E96,$E$4)</f>
        <v/>
      </c>
      <c r="F97" s="45">
        <f>INDEX(F93:F96,$E$4)</f>
        <v/>
      </c>
      <c r="G97" s="45">
        <f>INDEX(G93:G96,$E$4)</f>
        <v/>
      </c>
      <c r="H97" s="45">
        <f>INDEX(H93:H96,$E$4)</f>
        <v/>
      </c>
      <c r="I97" s="45">
        <f>INDEX(I93:I96,$E$4)</f>
        <v/>
      </c>
      <c r="J97" s="45">
        <f>INDEX(J93:J96,$E$4)</f>
        <v/>
      </c>
      <c r="K97" s="45">
        <f>INDEX(K93:K96,$E$4)</f>
        <v/>
      </c>
      <c r="L97" s="45">
        <f>INDEX(L93:L96,$E$4)</f>
        <v/>
      </c>
    </row>
    <row r="98"/>
    <row r="99" ht="23" customHeight="1">
      <c r="A99" s="5" t="inlineStr">
        <is>
          <t>SCI fees and co-invest returns per Q2-26 call (quarter)</t>
        </is>
      </c>
      <c r="B99" s="37" t="inlineStr">
        <is>
          <t>$M</t>
        </is>
      </c>
      <c r="D99" s="40" t="n">
        <v>35</v>
      </c>
      <c r="M99" s="39" t="inlineStr">
        <is>
          <t>Q2-26 call (secondary): $5M insurance / $48M balance-sheet leasing and gains / $35M SCI fees and co-invest returns</t>
        </is>
      </c>
    </row>
    <row r="100">
      <c r="A100" s="5" t="inlineStr">
        <is>
          <t>SCI servicing fee rate (annualised % of AUM)</t>
        </is>
      </c>
      <c r="B100" s="37" t="inlineStr">
        <is>
          <t>%</t>
        </is>
      </c>
      <c r="D100" s="54">
        <f>Historical!$N$74*Drivers!$D$18/$C$94</f>
        <v/>
      </c>
      <c r="M100" s="39" t="inlineStr">
        <is>
          <t>Formula: Q2-26 servicing fees 6.988 x 4 / AUM 6,000</t>
        </is>
      </c>
    </row>
    <row r="101" ht="33.5" customHeight="1">
      <c r="A101" s="3" t="inlineStr">
        <is>
          <t>Pro-rata SCI EBITDA and co-invest returns (included in Adj. EBITDA; non-cash until distributed)</t>
        </is>
      </c>
      <c r="B101" s="37" t="inlineStr">
        <is>
          <t>$M</t>
        </is>
      </c>
      <c r="M101" s="39" t="inlineStr">
        <is>
          <t>Calibrated to A's SCI component (Bear 190 / Base 240 / Bull 300 for 2027, 2027 = fees + this line). Q2-26 run-rate ~28 (35 less 7.0 fees). NOTE: Mgmt 2H26 of 63/qtr is what the 475 guide requires, roughly double the Q2 run-rate</t>
        </is>
      </c>
    </row>
    <row r="102">
      <c r="A102" s="42" t="inlineStr">
        <is>
          <t>Bear</t>
        </is>
      </c>
      <c r="D102" s="40" t="n">
        <v>28.3</v>
      </c>
      <c r="E102" s="40" t="n">
        <v>28.3</v>
      </c>
      <c r="F102" s="40" t="n">
        <v>30.9</v>
      </c>
      <c r="G102" s="40" t="n">
        <v>32.9</v>
      </c>
      <c r="H102" s="40" t="n">
        <v>34.9</v>
      </c>
      <c r="I102" s="40" t="n">
        <v>37</v>
      </c>
    </row>
    <row r="103">
      <c r="A103" s="42" t="inlineStr">
        <is>
          <t>Base</t>
        </is>
      </c>
      <c r="D103" s="40" t="n">
        <v>33.2</v>
      </c>
      <c r="E103" s="40" t="n">
        <v>33.3</v>
      </c>
      <c r="F103" s="40" t="n">
        <v>50</v>
      </c>
      <c r="G103" s="40" t="n">
        <v>52</v>
      </c>
      <c r="H103" s="40" t="n">
        <v>54</v>
      </c>
      <c r="I103" s="40" t="n">
        <v>56.2</v>
      </c>
    </row>
    <row r="104">
      <c r="A104" s="42" t="inlineStr">
        <is>
          <t>Bull</t>
        </is>
      </c>
      <c r="D104" s="40" t="n">
        <v>53.9</v>
      </c>
      <c r="E104" s="40" t="n">
        <v>53.8</v>
      </c>
      <c r="F104" s="40" t="n">
        <v>70.3</v>
      </c>
      <c r="G104" s="40" t="n">
        <v>72.3</v>
      </c>
      <c r="H104" s="40" t="n">
        <v>74.3</v>
      </c>
      <c r="I104" s="40" t="n">
        <v>76.5</v>
      </c>
    </row>
    <row r="105">
      <c r="A105" s="42" t="inlineStr">
        <is>
          <t>Mgmt Guide</t>
        </is>
      </c>
      <c r="D105" s="40" t="n">
        <v>63.3</v>
      </c>
      <c r="E105" s="40" t="n">
        <v>63.3</v>
      </c>
      <c r="F105" s="40" t="n">
        <v>70.3</v>
      </c>
      <c r="G105" s="40" t="n">
        <v>72.3</v>
      </c>
      <c r="H105" s="40" t="n">
        <v>74.3</v>
      </c>
      <c r="I105" s="40" t="n">
        <v>76.5</v>
      </c>
    </row>
    <row r="106">
      <c r="A106" s="44" t="inlineStr">
        <is>
          <t>Selected scenario (live)</t>
        </is>
      </c>
      <c r="D106" s="35">
        <f>INDEX(D102:D105,$E$4)</f>
        <v/>
      </c>
      <c r="E106" s="35">
        <f>INDEX(E102:E105,$E$4)</f>
        <v/>
      </c>
      <c r="F106" s="35">
        <f>INDEX(F102:F105,$E$4)</f>
        <v/>
      </c>
      <c r="G106" s="35">
        <f>INDEX(G102:G105,$E$4)</f>
        <v/>
      </c>
      <c r="H106" s="35">
        <f>INDEX(H102:H105,$E$4)</f>
        <v/>
      </c>
      <c r="I106" s="35">
        <f>INDEX(I102:I105,$E$4)</f>
        <v/>
      </c>
    </row>
    <row r="107"/>
    <row r="108">
      <c r="A108" s="3" t="inlineStr">
        <is>
          <t>Insurance recoveries included in Leasing EBITDA</t>
        </is>
      </c>
      <c r="B108" s="37" t="inlineStr">
        <is>
          <t>$M</t>
        </is>
      </c>
      <c r="D108" s="40" t="n">
        <v>0</v>
      </c>
      <c r="E108" s="40" t="n">
        <v>0</v>
      </c>
      <c r="F108" s="40" t="n">
        <v>0</v>
      </c>
      <c r="G108" s="40" t="n">
        <v>0</v>
      </c>
      <c r="H108" s="40" t="n">
        <v>0</v>
      </c>
      <c r="I108" s="40" t="n">
        <v>0</v>
      </c>
      <c r="M108" s="39" t="inlineStr">
        <is>
          <t>ASSUMPTION: none (Q1-26 44.6 gain, Q2-26 5.0 were one-offs)</t>
        </is>
      </c>
    </row>
    <row r="109"/>
    <row r="110">
      <c r="A110" s="3" t="inlineStr">
        <is>
          <t>Leasing EBITDA growth y/y (FY28-30)</t>
        </is>
      </c>
      <c r="B110" s="37" t="inlineStr">
        <is>
          <t>%</t>
        </is>
      </c>
      <c r="M110" s="39" t="inlineStr">
        <is>
          <t>ASSUMPTION: SCI fees grow with AUM while book run-off continues</t>
        </is>
      </c>
    </row>
    <row r="111">
      <c r="A111" s="42" t="inlineStr">
        <is>
          <t>Bear</t>
        </is>
      </c>
      <c r="J111" s="46" t="n">
        <v>-0.05</v>
      </c>
      <c r="K111" s="46" t="n">
        <v>0</v>
      </c>
      <c r="L111" s="46" t="n">
        <v>0</v>
      </c>
    </row>
    <row r="112">
      <c r="A112" s="42" t="inlineStr">
        <is>
          <t>Base</t>
        </is>
      </c>
      <c r="J112" s="46" t="n">
        <v>0.05</v>
      </c>
      <c r="K112" s="46" t="n">
        <v>0.05</v>
      </c>
      <c r="L112" s="46" t="n">
        <v>0.05</v>
      </c>
    </row>
    <row r="113">
      <c r="A113" s="42" t="inlineStr">
        <is>
          <t>Bull</t>
        </is>
      </c>
      <c r="J113" s="46" t="n">
        <v>0.1</v>
      </c>
      <c r="K113" s="46" t="n">
        <v>0.08</v>
      </c>
      <c r="L113" s="46" t="n">
        <v>0.06</v>
      </c>
    </row>
    <row r="114">
      <c r="A114" s="42" t="inlineStr">
        <is>
          <t>Mgmt Guide</t>
        </is>
      </c>
      <c r="J114" s="46" t="n">
        <v>0.1</v>
      </c>
      <c r="K114" s="46" t="n">
        <v>0.08</v>
      </c>
      <c r="L114" s="46" t="n">
        <v>0.06</v>
      </c>
    </row>
    <row r="115">
      <c r="A115" s="44" t="inlineStr">
        <is>
          <t>Selected scenario (live)</t>
        </is>
      </c>
      <c r="J115" s="16">
        <f>INDEX(J111:J114,$E$4)</f>
        <v/>
      </c>
      <c r="K115" s="16">
        <f>INDEX(K111:K114,$E$4)</f>
        <v/>
      </c>
      <c r="L115" s="16">
        <f>INDEX(L111:L114,$E$4)</f>
        <v/>
      </c>
    </row>
    <row r="116"/>
    <row r="117">
      <c r="A117" s="3" t="inlineStr">
        <is>
          <t>Leasing equipment acquisitions (cash; FY28-30 per year)</t>
        </is>
      </c>
      <c r="B117" s="37" t="inlineStr">
        <is>
          <t>$M</t>
        </is>
      </c>
      <c r="D117" s="40" t="n">
        <v>25</v>
      </c>
      <c r="E117" s="40" t="n">
        <v>25</v>
      </c>
      <c r="F117" s="40" t="n">
        <v>25</v>
      </c>
      <c r="G117" s="40" t="n">
        <v>25</v>
      </c>
      <c r="H117" s="40" t="n">
        <v>25</v>
      </c>
      <c r="I117" s="40" t="n">
        <v>25</v>
      </c>
      <c r="J117" s="40" t="n">
        <v>100</v>
      </c>
      <c r="K117" s="40" t="n">
        <v>100</v>
      </c>
      <c r="L117" s="40" t="n">
        <v>100</v>
      </c>
      <c r="M117" s="39" t="inlineStr">
        <is>
          <t>ASSUMPTION: asset-light. 1H26 actual 163 (87.8 + 75.3), falling; added to book value</t>
        </is>
      </c>
    </row>
    <row r="118"/>
    <row r="119">
      <c r="A119" s="5" t="inlineStr">
        <is>
          <t>SCI cash distributions as % of pro-rata EBITDA</t>
        </is>
      </c>
      <c r="B119" s="37" t="inlineStr">
        <is>
          <t>%</t>
        </is>
      </c>
      <c r="D119" s="46" t="n">
        <v>0.65</v>
      </c>
      <c r="M119" s="39" t="inlineStr">
        <is>
          <t>Q2-26 return of capital 19.2 vs ~28 pro-rata (69%); FY25 27.1 total. ASSUMPTION 65%</t>
        </is>
      </c>
    </row>
    <row r="120">
      <c r="A120" s="5" t="inlineStr">
        <is>
          <t>SCI co-investment as % of AUM growth (cash)</t>
        </is>
      </c>
      <c r="B120" s="37" t="inlineStr">
        <is>
          <t>%</t>
        </is>
      </c>
      <c r="D120" s="46" t="n">
        <v>0.15</v>
      </c>
      <c r="M120" s="39" t="inlineStr">
        <is>
          <t>FTAI commits ~15% of SCI II (Q2-26 call, secondary); 19% of SCI I</t>
        </is>
      </c>
    </row>
    <row r="121" ht="23" customHeight="1">
      <c r="A121" s="5" t="inlineStr">
        <is>
          <t>Share of book sold that is a seed sale to SCI (cash proceeds stripped from 'clean' FCF)</t>
        </is>
      </c>
      <c r="B121" s="37" t="inlineStr">
        <is>
          <t>%</t>
        </is>
      </c>
      <c r="D121" s="46" t="n">
        <v>0.3</v>
      </c>
      <c r="M121" s="39" t="inlineStr">
        <is>
          <t>ASSUMPTION. 1H26 seed proceeds 175.7 are 'non-recurring' per 10-Q; seed sales shrinking (15 aircraft 1H26 vs 37 1H25)</t>
        </is>
      </c>
    </row>
    <row r="122">
      <c r="A122" s="5" t="inlineStr">
        <is>
          <t>Leasing revenue as % of Leasing EBITDA</t>
        </is>
      </c>
      <c r="B122" s="37" t="inlineStr">
        <is>
          <t>%</t>
        </is>
      </c>
      <c r="D122" s="9">
        <f>Historical!$N$15/Historical!$N$34</f>
        <v/>
      </c>
      <c r="M122" s="39" t="inlineStr">
        <is>
          <t>Formula: Q2-26 segment revenue 78.1 / EBITDA 88.2</t>
        </is>
      </c>
    </row>
    <row r="123">
      <c r="A123" s="10" t="inlineStr">
        <is>
          <t>4. Corporate, D&amp;A, interest, tax, shares</t>
        </is>
      </c>
      <c r="B123" s="11" t="n"/>
      <c r="C123" s="11" t="n"/>
      <c r="D123" s="11" t="n"/>
      <c r="E123" s="11" t="n"/>
      <c r="F123" s="11" t="n"/>
      <c r="G123" s="11" t="n"/>
      <c r="H123" s="11" t="n"/>
      <c r="I123" s="11" t="n"/>
      <c r="J123" s="11" t="n"/>
      <c r="K123" s="11" t="n"/>
      <c r="L123" s="11" t="n"/>
      <c r="M123" s="11" t="n"/>
    </row>
    <row r="124">
      <c r="A124" s="29" t="inlineStr">
        <is>
          <t>Driver</t>
        </is>
      </c>
      <c r="B124" s="30" t="inlineStr">
        <is>
          <t>Unit</t>
        </is>
      </c>
      <c r="C124" s="30" t="inlineStr">
        <is>
          <t>Q2'26A</t>
        </is>
      </c>
      <c r="D124" s="30" t="inlineStr">
        <is>
          <t>Q3'26E</t>
        </is>
      </c>
      <c r="E124" s="30" t="inlineStr">
        <is>
          <t>Q4'26E</t>
        </is>
      </c>
      <c r="F124" s="30" t="inlineStr">
        <is>
          <t>Q1'27E</t>
        </is>
      </c>
      <c r="G124" s="30" t="inlineStr">
        <is>
          <t>Q2'27E</t>
        </is>
      </c>
      <c r="H124" s="30" t="inlineStr">
        <is>
          <t>Q3'27E</t>
        </is>
      </c>
      <c r="I124" s="30" t="inlineStr">
        <is>
          <t>Q4'27E</t>
        </is>
      </c>
      <c r="J124" s="30" t="inlineStr">
        <is>
          <t>FY2028E</t>
        </is>
      </c>
      <c r="K124" s="30" t="inlineStr">
        <is>
          <t>FY2029E</t>
        </is>
      </c>
      <c r="L124" s="30" t="inlineStr">
        <is>
          <t>FY2030E</t>
        </is>
      </c>
      <c r="M124" s="36" t="inlineStr">
        <is>
          <t>Source / rationale</t>
        </is>
      </c>
    </row>
    <row r="125" ht="23" customHeight="1">
      <c r="A125" s="3" t="inlineStr">
        <is>
          <t>Corporate and Other EBITDA (quarter; FY28-30 growth in cost)</t>
        </is>
      </c>
      <c r="B125" s="37" t="inlineStr">
        <is>
          <t>$M</t>
        </is>
      </c>
      <c r="D125" s="40" t="n">
        <v>-40</v>
      </c>
      <c r="E125" s="40" t="n">
        <v>-40</v>
      </c>
      <c r="F125" s="40" t="n">
        <v>-40</v>
      </c>
      <c r="G125" s="40" t="n">
        <v>-40</v>
      </c>
      <c r="H125" s="40" t="n">
        <v>-40</v>
      </c>
      <c r="I125" s="40" t="n">
        <v>-40</v>
      </c>
      <c r="J125" s="40" t="n">
        <v>0.03</v>
      </c>
      <c r="K125" s="40" t="n">
        <v>0.03</v>
      </c>
      <c r="L125" s="40" t="n">
        <v>0.03</v>
      </c>
      <c r="M125" s="39" t="inlineStr">
        <is>
          <t>Q1-26 -40.0, Q2-26 -39.9. FY28-30 columns = annual cost growth % (ASSUMPTION 3%). Excluded from management segment guidance</t>
        </is>
      </c>
    </row>
    <row r="126"/>
    <row r="127">
      <c r="A127" s="5" t="inlineStr">
        <is>
          <t>Profit elimination as % of MRE revenue</t>
        </is>
      </c>
      <c r="B127" s="37" t="inlineStr">
        <is>
          <t>%</t>
        </is>
      </c>
      <c r="D127" s="9">
        <f>-(Historical!$M$36+Historical!$N$36)/(Historical!$M$7+Historical!$N$7)</f>
        <v/>
      </c>
      <c r="M127" s="39" t="inlineStr">
        <is>
          <t>Formula: 1H26 eliminations 16.6 / MRE revenue 404.0 (4.1%)</t>
        </is>
      </c>
    </row>
    <row r="128" ht="23" customHeight="1">
      <c r="A128" s="5" t="inlineStr">
        <is>
          <t>Other (non-leasing) D&amp;A in Q2-26</t>
        </is>
      </c>
      <c r="B128" s="37" t="inlineStr">
        <is>
          <t>$M</t>
        </is>
      </c>
      <c r="D128" s="40" t="n">
        <v>2.5</v>
      </c>
      <c r="M128" s="39" t="inlineStr">
        <is>
          <t>ASSUMPTION: Aerospace PP&amp;E / other depreciation; remainder of Q2-26 D&amp;A is allocated to the leasing book</t>
        </is>
      </c>
    </row>
    <row r="129">
      <c r="A129" s="5" t="inlineStr">
        <is>
          <t>Leasing D&amp;A rate (% of beginning leasing book, per quarter)</t>
        </is>
      </c>
      <c r="B129" s="37" t="inlineStr">
        <is>
          <t>%</t>
        </is>
      </c>
      <c r="D129" s="55">
        <f>(Historical!$N$21-D128)/Historical!$M$64</f>
        <v/>
      </c>
      <c r="M129" s="39" t="inlineStr">
        <is>
          <t>Formula: (Q2-26 D&amp;A 47.0 less other 2.5) / beginning book 1,248.8</t>
        </is>
      </c>
    </row>
    <row r="130" ht="23" customHeight="1">
      <c r="A130" s="5" t="inlineStr">
        <is>
          <t>Useful life of Aerospace capex base</t>
        </is>
      </c>
      <c r="B130" s="37" t="inlineStr">
        <is>
          <t>years</t>
        </is>
      </c>
      <c r="D130" s="38" t="n">
        <v>10</v>
      </c>
      <c r="M130" s="39" t="inlineStr">
        <is>
          <t>ASSUMPTION: new capex depreciates straight-line over 10 years (links D&amp;A to the Aerospace capex base)</t>
        </is>
      </c>
    </row>
    <row r="131">
      <c r="A131" s="3" t="inlineStr">
        <is>
          <t>PP&amp;E capex (quarter; FY28-30 per year)</t>
        </is>
      </c>
      <c r="B131" s="37" t="inlineStr">
        <is>
          <t>$M</t>
        </is>
      </c>
      <c r="D131" s="40" t="n">
        <v>15</v>
      </c>
      <c r="E131" s="40" t="n">
        <v>15</v>
      </c>
      <c r="F131" s="40" t="n">
        <v>15</v>
      </c>
      <c r="G131" s="40" t="n">
        <v>15</v>
      </c>
      <c r="H131" s="40" t="n">
        <v>15</v>
      </c>
      <c r="I131" s="40" t="n">
        <v>15</v>
      </c>
      <c r="J131" s="40" t="n">
        <v>60</v>
      </c>
      <c r="K131" s="40" t="n">
        <v>60</v>
      </c>
      <c r="L131" s="40" t="n">
        <v>60</v>
      </c>
      <c r="M131" s="39" t="inlineStr">
        <is>
          <t>Q1-26 6.6, Q2-26 17.4. ASSUMPTION 15/quarter</t>
        </is>
      </c>
    </row>
    <row r="132"/>
    <row r="133">
      <c r="A133" s="5" t="inlineStr">
        <is>
          <t>Effective tax rate</t>
        </is>
      </c>
      <c r="B133" s="37" t="inlineStr">
        <is>
          <t>%</t>
        </is>
      </c>
      <c r="D133" s="46" t="n">
        <v>0.18</v>
      </c>
      <c r="M133" s="39" t="inlineStr">
        <is>
          <t>1H26 effective rate 17.8% (57.1/320.1); FY25 17.4%</t>
        </is>
      </c>
    </row>
    <row r="134" ht="23" customHeight="1">
      <c r="A134" s="5" t="inlineStr">
        <is>
          <t>Preferred dividends + NCI per quarter</t>
        </is>
      </c>
      <c r="B134" s="37" t="inlineStr">
        <is>
          <t>$M</t>
        </is>
      </c>
      <c r="D134" s="34">
        <f>Historical!$N$29</f>
        <v/>
      </c>
      <c r="M134" s="39" t="inlineStr">
        <is>
          <t>Formula: Q2-26 net income less attributable (7.5). Preferred shares fell to 2.6M (65M liquidation)</t>
        </is>
      </c>
    </row>
    <row r="135">
      <c r="A135" s="5" t="inlineStr">
        <is>
          <t>Diluted shares (quarterly, before buyback)</t>
        </is>
      </c>
      <c r="B135" s="37" t="inlineStr">
        <is>
          <t>M</t>
        </is>
      </c>
      <c r="D135" s="56">
        <f>Historical!$N$31</f>
        <v/>
      </c>
      <c r="M135" s="39" t="inlineStr">
        <is>
          <t>Q2-26 diluted weighted 104.04M</t>
        </is>
      </c>
    </row>
    <row r="136">
      <c r="A136" s="5" t="inlineStr">
        <is>
          <t>Buyback toggle (1 = on, 0 = off)</t>
        </is>
      </c>
      <c r="B136" s="37" t="inlineStr">
        <is>
          <t>0/1</t>
        </is>
      </c>
      <c r="D136" s="38" t="n">
        <v>0</v>
      </c>
      <c r="M136" s="39" t="inlineStr">
        <is>
          <t>$500M program reported but UNVERIFIED -&gt; default OFF</t>
        </is>
      </c>
    </row>
    <row r="137">
      <c r="A137" s="5" t="inlineStr">
        <is>
          <t>Buyback program size</t>
        </is>
      </c>
      <c r="B137" s="37" t="inlineStr">
        <is>
          <t>$M</t>
        </is>
      </c>
      <c r="D137" s="40" t="n">
        <v>500</v>
      </c>
      <c r="M137" s="39" t="inlineStr">
        <is>
          <t>UNVERIFIED press report</t>
        </is>
      </c>
    </row>
    <row r="138">
      <c r="A138" s="5" t="inlineStr">
        <is>
          <t>Buyback executed evenly over (quarters)</t>
        </is>
      </c>
      <c r="B138" s="37" t="inlineStr">
        <is>
          <t>#</t>
        </is>
      </c>
      <c r="D138" s="38" t="n">
        <v>6</v>
      </c>
      <c r="M138" s="39" t="inlineStr">
        <is>
          <t>ASSUMPTION: spread over Q3'26-Q4'27</t>
        </is>
      </c>
    </row>
    <row r="139" ht="23" customHeight="1">
      <c r="A139" s="5" t="inlineStr">
        <is>
          <t>Common dividend per share per quarter</t>
        </is>
      </c>
      <c r="B139" s="37" t="inlineStr">
        <is>
          <t>$</t>
        </is>
      </c>
      <c r="D139" s="41" t="n">
        <v>0.3</v>
      </c>
      <c r="M139" s="39" t="inlineStr">
        <is>
          <t>ASSUMPTION - NOT IN PROVIDED DATA: recollection of FTAI's quarterly dividend; UNVERIFIED. Funds via cash/revolver only</t>
        </is>
      </c>
    </row>
    <row r="140">
      <c r="A140" s="5" t="inlineStr">
        <is>
          <t>Minimum cash balance (revolver sweep)</t>
        </is>
      </c>
      <c r="B140" s="37" t="inlineStr">
        <is>
          <t>$M</t>
        </is>
      </c>
      <c r="D140" s="40" t="n">
        <v>300</v>
      </c>
      <c r="M140" s="39" t="inlineStr">
        <is>
          <t>ASSUMPTION; Q2-26 cash 337</t>
        </is>
      </c>
    </row>
    <row r="141">
      <c r="A141" s="5" t="inlineStr">
        <is>
          <t>Revolver interest rate</t>
        </is>
      </c>
      <c r="B141" s="37" t="inlineStr">
        <is>
          <t>%</t>
        </is>
      </c>
      <c r="D141" s="46" t="n">
        <v>0.06</v>
      </c>
      <c r="M141" s="39" t="inlineStr">
        <is>
          <t>ASSUMPTION: SOFR + 1.25-2.00% (Note 6); undrawn at 6/30/26</t>
        </is>
      </c>
    </row>
    <row r="142">
      <c r="A142" s="5" t="inlineStr">
        <is>
          <t>Refinancing coupon on 2028 notes (from May 2028)</t>
        </is>
      </c>
      <c r="B142" s="37" t="inlineStr">
        <is>
          <t>%</t>
        </is>
      </c>
      <c r="D142" s="46" t="n">
        <v>0.07000000000000001</v>
      </c>
      <c r="M142" s="39" t="inlineStr">
        <is>
          <t>ASSUMPTION: 7.0% (recent issues 7.0%-7.875%)</t>
        </is>
      </c>
    </row>
    <row r="143">
      <c r="A143" s="5" t="inlineStr">
        <is>
          <t>Months of 2028 notes at old coupon in FY2028</t>
        </is>
      </c>
      <c r="B143" s="37" t="inlineStr">
        <is>
          <t>months</t>
        </is>
      </c>
      <c r="D143" s="38" t="n">
        <v>4</v>
      </c>
      <c r="M143" s="39" t="inlineStr">
        <is>
          <t>Maturity 2028-05-01 (debt_schedule.csv)</t>
        </is>
      </c>
    </row>
    <row r="144">
      <c r="A144" s="57" t="inlineStr">
        <is>
          <t>Senior notes (face USD m at 6/30/26 | coupon | maturity)</t>
        </is>
      </c>
    </row>
    <row r="145">
      <c r="A145" s="42" t="inlineStr">
        <is>
          <t>2028 notes</t>
        </is>
      </c>
      <c r="D145" s="40" t="n">
        <v>1000</v>
      </c>
      <c r="E145" s="58" t="n">
        <v>0.055</v>
      </c>
      <c r="F145" s="59" t="inlineStr">
        <is>
          <t>2028-05-01</t>
        </is>
      </c>
      <c r="M145" s="39" t="inlineStr">
        <is>
          <t>debt_schedule.csv; 10-Q Q2-26 Note 6 (acc 0001628280-26-051412)</t>
        </is>
      </c>
    </row>
    <row r="146">
      <c r="A146" s="42" t="inlineStr">
        <is>
          <t>2030 notes</t>
        </is>
      </c>
      <c r="D146" s="40" t="n">
        <v>500</v>
      </c>
      <c r="E146" s="58" t="n">
        <v>0.07875</v>
      </c>
      <c r="F146" s="59" t="inlineStr">
        <is>
          <t>2030-12-01</t>
        </is>
      </c>
      <c r="M146" s="39" t="inlineStr">
        <is>
          <t>debt_schedule.csv; 10-Q Q2-26 Note 6 (acc 0001628280-26-051412)</t>
        </is>
      </c>
    </row>
    <row r="147">
      <c r="A147" s="42" t="inlineStr">
        <is>
          <t>2031 notes</t>
        </is>
      </c>
      <c r="D147" s="40" t="n">
        <v>700</v>
      </c>
      <c r="E147" s="58" t="n">
        <v>0.07000000000000001</v>
      </c>
      <c r="F147" s="59" t="inlineStr">
        <is>
          <t>2031-05-01</t>
        </is>
      </c>
      <c r="M147" s="39" t="inlineStr">
        <is>
          <t>debt_schedule.csv; 10-Q Q2-26 Note 6 (acc 0001628280-26-051412)</t>
        </is>
      </c>
    </row>
    <row r="148">
      <c r="A148" s="42" t="inlineStr">
        <is>
          <t>2032 notes</t>
        </is>
      </c>
      <c r="D148" s="40" t="n">
        <v>800</v>
      </c>
      <c r="E148" s="58" t="n">
        <v>0.07000000000000001</v>
      </c>
      <c r="F148" s="59" t="inlineStr">
        <is>
          <t>2032-06-15</t>
        </is>
      </c>
      <c r="M148" s="39" t="inlineStr">
        <is>
          <t>debt_schedule.csv; 10-Q Q2-26 Note 6 (acc 0001628280-26-051412)</t>
        </is>
      </c>
    </row>
    <row r="149">
      <c r="A149" s="42" t="inlineStr">
        <is>
          <t>2033 notes</t>
        </is>
      </c>
      <c r="D149" s="40" t="n">
        <v>500</v>
      </c>
      <c r="E149" s="58" t="n">
        <v>0.05875</v>
      </c>
      <c r="F149" s="59" t="inlineStr">
        <is>
          <t>2033-04-15</t>
        </is>
      </c>
      <c r="M149" s="39" t="inlineStr">
        <is>
          <t>debt_schedule.csv; 10-Q Q2-26 Note 6 (acc 0001628280-26-051412)</t>
        </is>
      </c>
    </row>
    <row r="150">
      <c r="A150" s="5" t="inlineStr">
        <is>
          <t>Annual coupon interest at current face</t>
        </is>
      </c>
      <c r="B150" s="37" t="inlineStr">
        <is>
          <t>$M</t>
        </is>
      </c>
      <c r="D150" s="60">
        <f>SUMPRODUCT(D145:D149,E145:E149)</f>
        <v/>
      </c>
      <c r="M150" s="39" t="inlineStr">
        <is>
          <t>Formula: sum(face x coupon) = 228.8 (ties to 10-K 12-month interest due)</t>
        </is>
      </c>
    </row>
    <row r="151" ht="23" customHeight="1">
      <c r="A151" s="5" t="inlineStr">
        <is>
          <t>Other interest, fees and amortisation per quarter</t>
        </is>
      </c>
      <c r="B151" s="37" t="inlineStr">
        <is>
          <t>$M</t>
        </is>
      </c>
      <c r="D151" s="60">
        <f>Historical!$N$22-Drivers!$D$150/Drivers!$D$18</f>
        <v/>
      </c>
      <c r="M151" s="39" t="inlineStr">
        <is>
          <t>Formula: Q2-26 interest expense 64.1 less coupon interest 57.2 (issuance cost amortisation, commitment fees, other)</t>
        </is>
      </c>
    </row>
    <row r="152" ht="23" customHeight="1">
      <c r="A152" s="5" t="inlineStr">
        <is>
          <t>Pro-rata SCI EBITDA, Q1-26 and Q2-26 (assumed equal)</t>
        </is>
      </c>
      <c r="B152" s="37" t="inlineStr">
        <is>
          <t>$M/qtr</t>
        </is>
      </c>
      <c r="D152" s="60">
        <f>Drivers!$D$99-Historical!$N$74</f>
        <v/>
      </c>
      <c r="M152" s="39" t="inlineStr">
        <is>
          <t>Formula: call 35 less servicing fees 7.0 = 28.0. ASSUMPTION: Q1-26 assumed equal (components not disclosed). Back-test below</t>
        </is>
      </c>
    </row>
    <row r="153">
      <c r="A153" s="5" t="inlineStr">
        <is>
          <t>Equity earnings as % of pro-rata SCI EBITDA</t>
        </is>
      </c>
      <c r="B153" s="37" t="inlineStr">
        <is>
          <t>%</t>
        </is>
      </c>
      <c r="D153" s="9">
        <f>(Historical!$M$24+Historical!$N$24)/(Drivers!$D$22*Drivers!$D$152)</f>
        <v/>
      </c>
      <c r="M153" s="39" t="inlineStr">
        <is>
          <t>Formula: 1H26 equity earnings (-2.4 + 10.0) / pro-rata EBITDA (2 x 28.0)</t>
        </is>
      </c>
    </row>
    <row r="154" ht="23" customHeight="1">
      <c r="A154" s="5" t="inlineStr">
        <is>
          <t>Other EBITDA-to-pretax adjustments per quarter (SBC, acquisition costs, other)</t>
        </is>
      </c>
      <c r="B154" s="37" t="inlineStr">
        <is>
          <t>$M</t>
        </is>
      </c>
      <c r="D154" s="60">
        <f>((Historical!$M$37+Historical!$N$37)-(Historical!$M$21+Historical!$N$21)-(Historical!$M$22+Historical!$N$22)-(Historical!$M$25+Historical!$N$25)-(Drivers!$D$22*Drivers!$D$152-(Historical!$M$24+Historical!$N$24)))/Drivers!$D$22</f>
        <v/>
      </c>
      <c r="M154" s="39" t="inlineStr">
        <is>
          <t>Formula: 1H26 gap between Adj. EBITDA less D&amp;A less interest and reported pre-tax income (72.1), less the SCI pro-rata adjustment, per quarter. Back-test on Checks tab reproduces Q1/Q2 EPS</t>
        </is>
      </c>
    </row>
    <row r="155">
      <c r="A155" s="10" t="inlineStr">
        <is>
          <t>5. Working capital (KEY #2: inventory conversion = the 2H26 FCF ramp)</t>
        </is>
      </c>
      <c r="B155" s="11" t="n"/>
      <c r="C155" s="11" t="n"/>
      <c r="D155" s="11" t="n"/>
      <c r="E155" s="11" t="n"/>
      <c r="F155" s="11" t="n"/>
      <c r="G155" s="11" t="n"/>
      <c r="H155" s="11" t="n"/>
      <c r="I155" s="11" t="n"/>
      <c r="J155" s="11" t="n"/>
      <c r="K155" s="11" t="n"/>
      <c r="L155" s="11" t="n"/>
      <c r="M155" s="11" t="n"/>
    </row>
    <row r="156">
      <c r="A156" s="29" t="inlineStr">
        <is>
          <t>Driver</t>
        </is>
      </c>
      <c r="B156" s="30" t="inlineStr">
        <is>
          <t>Unit</t>
        </is>
      </c>
      <c r="C156" s="30" t="inlineStr">
        <is>
          <t>Q2'26A</t>
        </is>
      </c>
      <c r="D156" s="30" t="inlineStr">
        <is>
          <t>Q3'26E</t>
        </is>
      </c>
      <c r="E156" s="30" t="inlineStr">
        <is>
          <t>Q4'26E</t>
        </is>
      </c>
      <c r="F156" s="30" t="inlineStr">
        <is>
          <t>Q1'27E</t>
        </is>
      </c>
      <c r="G156" s="30" t="inlineStr">
        <is>
          <t>Q2'27E</t>
        </is>
      </c>
      <c r="H156" s="30" t="inlineStr">
        <is>
          <t>Q3'27E</t>
        </is>
      </c>
      <c r="I156" s="30" t="inlineStr">
        <is>
          <t>Q4'27E</t>
        </is>
      </c>
      <c r="J156" s="30" t="inlineStr">
        <is>
          <t>FY2028E</t>
        </is>
      </c>
      <c r="K156" s="30" t="inlineStr">
        <is>
          <t>FY2029E</t>
        </is>
      </c>
      <c r="L156" s="30" t="inlineStr">
        <is>
          <t>FY2030E</t>
        </is>
      </c>
      <c r="M156" s="36" t="inlineStr">
        <is>
          <t>Source / rationale</t>
        </is>
      </c>
    </row>
    <row r="157" ht="23" customHeight="1">
      <c r="A157" s="5" t="inlineStr">
        <is>
          <t>Inventory days at Q2-26 (inventory / Aerospace cost of sales proxy)</t>
        </is>
      </c>
      <c r="B157" s="37" t="inlineStr">
        <is>
          <t>days</t>
        </is>
      </c>
      <c r="D157" s="60">
        <f>Historical!$N$63/(Historical!$N$14-Historical!$N$33)*Drivers!$D$19</f>
        <v/>
      </c>
      <c r="M157" s="39" t="inlineStr">
        <is>
          <t>Formula: inventory 1,544.6 / (Aerospace revenue less Aerospace EBITDA as cost-of-sales proxy) x 91.25. Thesis metric on total COGS is ~222</t>
        </is>
      </c>
    </row>
    <row r="158">
      <c r="A158" s="5" t="inlineStr">
        <is>
          <t>Normalised inventory days (target if 100% converted)</t>
        </is>
      </c>
      <c r="B158" s="37" t="inlineStr">
        <is>
          <t>days</t>
        </is>
      </c>
      <c r="D158" s="40" t="n">
        <v>150</v>
      </c>
      <c r="M158" s="39" t="inlineStr">
        <is>
          <t>ASSUMPTION: FY23 run-rate ~100-150 days on quarterly COGS; FY25 Q4 ~290</t>
        </is>
      </c>
    </row>
    <row r="159">
      <c r="A159" s="3" t="inlineStr">
        <is>
          <t>Conversion phasing (share of conversion achieved by quarter)</t>
        </is>
      </c>
      <c r="B159" s="37" t="inlineStr">
        <is>
          <t>x</t>
        </is>
      </c>
      <c r="D159" s="50" t="n">
        <v>0.5</v>
      </c>
      <c r="E159" s="50" t="n">
        <v>1</v>
      </c>
      <c r="F159" s="50" t="n">
        <v>1</v>
      </c>
      <c r="G159" s="50" t="n">
        <v>1</v>
      </c>
      <c r="H159" s="50" t="n">
        <v>1</v>
      </c>
      <c r="I159" s="50" t="n">
        <v>1</v>
      </c>
      <c r="M159" s="39" t="inlineStr">
        <is>
          <t>ASSUMPTION: half by Q3'26, complete by Q4'26, held flat through 2027</t>
        </is>
      </c>
    </row>
    <row r="160"/>
    <row r="161" ht="23" customHeight="1">
      <c r="A161" s="21" t="inlineStr">
        <is>
          <t>Inventory conversion % (share of excess days above target converted to cash by Q4'26)</t>
        </is>
      </c>
      <c r="B161" s="37" t="inlineStr">
        <is>
          <t>%</t>
        </is>
      </c>
      <c r="M161" s="39" t="inlineStr">
        <is>
          <t>KEY #2. Mgmt Guide value back-solved in build_model.py so FY26 company-defined Adj. FCF = $878M (guide, 7/30/26). Others are analyst judgment</t>
        </is>
      </c>
    </row>
    <row r="162">
      <c r="A162" s="42" t="inlineStr">
        <is>
          <t>Bear</t>
        </is>
      </c>
      <c r="D162" s="61" t="n">
        <v>0</v>
      </c>
    </row>
    <row r="163">
      <c r="A163" s="42" t="inlineStr">
        <is>
          <t>Base</t>
        </is>
      </c>
      <c r="D163" s="61" t="n">
        <v>0.1</v>
      </c>
    </row>
    <row r="164">
      <c r="A164" s="42" t="inlineStr">
        <is>
          <t>Bull</t>
        </is>
      </c>
      <c r="D164" s="61" t="n">
        <v>0.25</v>
      </c>
    </row>
    <row r="165">
      <c r="A165" s="42" t="inlineStr">
        <is>
          <t>Mgmt Guide</t>
        </is>
      </c>
      <c r="D165" s="61" t="n">
        <v>0.113</v>
      </c>
    </row>
    <row r="166">
      <c r="A166" s="44" t="inlineStr">
        <is>
          <t>Selected scenario (live)</t>
        </is>
      </c>
      <c r="D166" s="16">
        <f>INDEX(D162:D165,$E$4)</f>
        <v/>
      </c>
    </row>
    <row r="167"/>
    <row r="168">
      <c r="A168" s="3" t="inlineStr">
        <is>
          <t>Resulting inventory days (on Aerospace cost-of-sales proxy)</t>
        </is>
      </c>
      <c r="B168" s="37" t="inlineStr">
        <is>
          <t>days</t>
        </is>
      </c>
      <c r="M168" s="39" t="inlineStr">
        <is>
          <t>Formula: D0 - conversion x (D0 - target) x phase</t>
        </is>
      </c>
    </row>
    <row r="169">
      <c r="A169" s="42" t="inlineStr">
        <is>
          <t>Bear</t>
        </is>
      </c>
      <c r="D169" s="60">
        <f>$D$157-$D$162*($D$157-$D$158)*D$159</f>
        <v/>
      </c>
      <c r="E169" s="60">
        <f>$D$157-$D$162*($D$157-$D$158)*E$159</f>
        <v/>
      </c>
      <c r="F169" s="60">
        <f>$D$157-$D$162*($D$157-$D$158)*F$159</f>
        <v/>
      </c>
      <c r="G169" s="60">
        <f>$D$157-$D$162*($D$157-$D$158)*G$159</f>
        <v/>
      </c>
      <c r="H169" s="60">
        <f>$D$157-$D$162*($D$157-$D$158)*H$159</f>
        <v/>
      </c>
      <c r="I169" s="60">
        <f>$D$157-$D$162*($D$157-$D$158)*I$159</f>
        <v/>
      </c>
    </row>
    <row r="170">
      <c r="A170" s="42" t="inlineStr">
        <is>
          <t>Base</t>
        </is>
      </c>
      <c r="D170" s="60">
        <f>$D$157-$D$163*($D$157-$D$158)*D$159</f>
        <v/>
      </c>
      <c r="E170" s="60">
        <f>$D$157-$D$163*($D$157-$D$158)*E$159</f>
        <v/>
      </c>
      <c r="F170" s="60">
        <f>$D$157-$D$163*($D$157-$D$158)*F$159</f>
        <v/>
      </c>
      <c r="G170" s="60">
        <f>$D$157-$D$163*($D$157-$D$158)*G$159</f>
        <v/>
      </c>
      <c r="H170" s="60">
        <f>$D$157-$D$163*($D$157-$D$158)*H$159</f>
        <v/>
      </c>
      <c r="I170" s="60">
        <f>$D$157-$D$163*($D$157-$D$158)*I$159</f>
        <v/>
      </c>
    </row>
    <row r="171">
      <c r="A171" s="42" t="inlineStr">
        <is>
          <t>Bull</t>
        </is>
      </c>
      <c r="D171" s="60">
        <f>$D$157-$D$164*($D$157-$D$158)*D$159</f>
        <v/>
      </c>
      <c r="E171" s="60">
        <f>$D$157-$D$164*($D$157-$D$158)*E$159</f>
        <v/>
      </c>
      <c r="F171" s="60">
        <f>$D$157-$D$164*($D$157-$D$158)*F$159</f>
        <v/>
      </c>
      <c r="G171" s="60">
        <f>$D$157-$D$164*($D$157-$D$158)*G$159</f>
        <v/>
      </c>
      <c r="H171" s="60">
        <f>$D$157-$D$164*($D$157-$D$158)*H$159</f>
        <v/>
      </c>
      <c r="I171" s="60">
        <f>$D$157-$D$164*($D$157-$D$158)*I$159</f>
        <v/>
      </c>
    </row>
    <row r="172">
      <c r="A172" s="42" t="inlineStr">
        <is>
          <t>Mgmt Guide</t>
        </is>
      </c>
      <c r="D172" s="60">
        <f>$D$157-$D$165*($D$157-$D$158)*D$159</f>
        <v/>
      </c>
      <c r="E172" s="60">
        <f>$D$157-$D$165*($D$157-$D$158)*E$159</f>
        <v/>
      </c>
      <c r="F172" s="60">
        <f>$D$157-$D$165*($D$157-$D$158)*F$159</f>
        <v/>
      </c>
      <c r="G172" s="60">
        <f>$D$157-$D$165*($D$157-$D$158)*G$159</f>
        <v/>
      </c>
      <c r="H172" s="60">
        <f>$D$157-$D$165*($D$157-$D$158)*H$159</f>
        <v/>
      </c>
      <c r="I172" s="60">
        <f>$D$157-$D$165*($D$157-$D$158)*I$159</f>
        <v/>
      </c>
    </row>
    <row r="173">
      <c r="A173" s="44" t="inlineStr">
        <is>
          <t>Selected scenario (live)</t>
        </is>
      </c>
      <c r="D173" s="35">
        <f>INDEX(D169:D172,$E$4)</f>
        <v/>
      </c>
      <c r="E173" s="35">
        <f>INDEX(E169:E172,$E$4)</f>
        <v/>
      </c>
      <c r="F173" s="35">
        <f>INDEX(F169:F172,$E$4)</f>
        <v/>
      </c>
      <c r="G173" s="35">
        <f>INDEX(G169:G172,$E$4)</f>
        <v/>
      </c>
      <c r="H173" s="35">
        <f>INDEX(H169:H172,$E$4)</f>
        <v/>
      </c>
      <c r="I173" s="35">
        <f>INDEX(I169:I172,$E$4)</f>
        <v/>
      </c>
    </row>
    <row r="174"/>
    <row r="175">
      <c r="A175" s="3" t="inlineStr">
        <is>
          <t>Change in annual inventory days (FY28-30, days on annual Aerospace COGS)</t>
        </is>
      </c>
      <c r="B175" s="37" t="inlineStr">
        <is>
          <t>days</t>
        </is>
      </c>
      <c r="J175" s="40" t="n">
        <v>-5</v>
      </c>
      <c r="K175" s="40" t="n">
        <v>-5</v>
      </c>
      <c r="L175" s="40" t="n">
        <v>-5</v>
      </c>
      <c r="M175" s="39" t="inlineStr">
        <is>
          <t>ASSUMPTION: gradual normalisation after 2027</t>
        </is>
      </c>
    </row>
    <row r="176"/>
    <row r="177" ht="23" customHeight="1">
      <c r="A177" s="5" t="inlineStr">
        <is>
          <t>Hot-section parts investment added back in company Adjusted FCF (per quarter)</t>
        </is>
      </c>
      <c r="B177" s="37" t="inlineStr">
        <is>
          <t>$M</t>
        </is>
      </c>
      <c r="D177" s="40" t="n">
        <v>12.5</v>
      </c>
      <c r="M177" s="39" t="inlineStr">
        <is>
          <t>Q4-25 call: $50M of hot-section parts in FY25 (12.5/qtr). Used only for the company Adjusted FCF definition</t>
        </is>
      </c>
    </row>
    <row r="178">
      <c r="A178" s="10" t="inlineStr">
        <is>
          <t>6. Valuation inputs</t>
        </is>
      </c>
      <c r="B178" s="11" t="n"/>
      <c r="C178" s="11" t="n"/>
      <c r="D178" s="11" t="n"/>
      <c r="E178" s="11" t="n"/>
      <c r="F178" s="11" t="n"/>
      <c r="G178" s="11" t="n"/>
      <c r="H178" s="11" t="n"/>
      <c r="I178" s="11" t="n"/>
      <c r="J178" s="11" t="n"/>
      <c r="K178" s="11" t="n"/>
      <c r="L178" s="11" t="n"/>
      <c r="M178" s="11" t="n"/>
    </row>
    <row r="179">
      <c r="A179" s="29" t="inlineStr">
        <is>
          <t>Driver</t>
        </is>
      </c>
      <c r="B179" s="30" t="inlineStr">
        <is>
          <t>Unit</t>
        </is>
      </c>
      <c r="C179" s="30" t="inlineStr">
        <is>
          <t>Q2'26A</t>
        </is>
      </c>
      <c r="D179" s="30" t="inlineStr">
        <is>
          <t>Q3'26E</t>
        </is>
      </c>
      <c r="E179" s="30" t="inlineStr">
        <is>
          <t>Q4'26E</t>
        </is>
      </c>
      <c r="F179" s="30" t="inlineStr">
        <is>
          <t>Q1'27E</t>
        </is>
      </c>
      <c r="G179" s="30" t="inlineStr">
        <is>
          <t>Q2'27E</t>
        </is>
      </c>
      <c r="H179" s="30" t="inlineStr">
        <is>
          <t>Q3'27E</t>
        </is>
      </c>
      <c r="I179" s="30" t="inlineStr">
        <is>
          <t>Q4'27E</t>
        </is>
      </c>
      <c r="J179" s="30" t="inlineStr">
        <is>
          <t>FY2028E</t>
        </is>
      </c>
      <c r="K179" s="30" t="inlineStr">
        <is>
          <t>FY2029E</t>
        </is>
      </c>
      <c r="L179" s="30" t="inlineStr">
        <is>
          <t>FY2030E</t>
        </is>
      </c>
      <c r="M179" s="36" t="inlineStr">
        <is>
          <t>Source / rationale</t>
        </is>
      </c>
    </row>
    <row r="180">
      <c r="A180" s="5" t="inlineStr">
        <is>
          <t>Share price (10/6/26 close)</t>
        </is>
      </c>
      <c r="B180" s="37" t="inlineStr">
        <is>
          <t>$</t>
        </is>
      </c>
      <c r="D180" s="41" t="n">
        <v>179.44</v>
      </c>
      <c r="M180" s="39" t="inlineStr">
        <is>
          <t>stockanalysis.com /forecast (consensus.csv)</t>
        </is>
      </c>
    </row>
    <row r="181">
      <c r="A181" s="5" t="inlineStr">
        <is>
          <t>Shares outstanding for per-share value</t>
        </is>
      </c>
      <c r="B181" s="37" t="inlineStr">
        <is>
          <t>M</t>
        </is>
      </c>
      <c r="D181" s="47" t="n">
        <v>102.71</v>
      </c>
      <c r="M181" s="39" t="inlineStr">
        <is>
          <t>stockanalysis /statistics (102.71M; 102.625M at 6/30/26)</t>
        </is>
      </c>
    </row>
    <row r="182">
      <c r="A182" s="5" t="inlineStr">
        <is>
          <t>Market cap (stockanalysis)</t>
        </is>
      </c>
      <c r="B182" s="37" t="inlineStr">
        <is>
          <t>$M</t>
        </is>
      </c>
      <c r="D182" s="53" t="n">
        <v>18430</v>
      </c>
      <c r="M182" s="39" t="inlineStr">
        <is>
          <t>stockanalysis /statistics</t>
        </is>
      </c>
    </row>
    <row r="183">
      <c r="A183" s="5" t="inlineStr">
        <is>
          <t>Enterprise value (stockanalysis)</t>
        </is>
      </c>
      <c r="B183" s="37" t="inlineStr">
        <is>
          <t>$M</t>
        </is>
      </c>
      <c r="D183" s="53" t="n">
        <v>21590</v>
      </c>
      <c r="M183" s="39" t="inlineStr">
        <is>
          <t>stockanalysis /statistics (approx. mkt cap + 3,500 debt - 337 cash; excludes 65 preferred)</t>
        </is>
      </c>
    </row>
    <row r="184">
      <c r="A184" s="5" t="inlineStr">
        <is>
          <t>Net debt implied by stockanalysis (EV - market cap)</t>
        </is>
      </c>
      <c r="B184" s="37" t="inlineStr">
        <is>
          <t>$M</t>
        </is>
      </c>
      <c r="D184" s="60">
        <f>Drivers!$D$183-Drivers!$D$182</f>
        <v/>
      </c>
      <c r="M184" s="39" t="inlineStr">
        <is>
          <t>Formula = ~3,160</t>
        </is>
      </c>
    </row>
    <row r="185">
      <c r="A185" s="5" t="inlineStr">
        <is>
          <t>Net debt, balance sheet 6/30/26 (debt carrying less cash)</t>
        </is>
      </c>
      <c r="B185" s="37" t="inlineStr">
        <is>
          <t>$M</t>
        </is>
      </c>
      <c r="D185" s="60">
        <f>Historical!$N$68-Historical!$N$62</f>
        <v/>
      </c>
      <c r="M185" s="39" t="inlineStr">
        <is>
          <t>Formula: 3,496.4 - 337.2 = 3,159.2 (reconciles to stockanalysis 3,160 within 1)</t>
        </is>
      </c>
    </row>
    <row r="186">
      <c r="A186" s="5" t="inlineStr">
        <is>
          <t>Preferred at liquidation value (2.6M x $25)</t>
        </is>
      </c>
      <c r="B186" s="37" t="inlineStr">
        <is>
          <t>$M</t>
        </is>
      </c>
      <c r="D186" s="60">
        <f>Historical!$N$72*Drivers!$D$23</f>
        <v/>
      </c>
      <c r="M186" s="39" t="inlineStr">
        <is>
          <t>Formula: 65.0 (balance_sheet.csv pref shares x $25)</t>
        </is>
      </c>
    </row>
    <row r="187">
      <c r="A187" s="5" t="inlineStr">
        <is>
          <t>Deduct preferred in equity bridge (1 = yes)</t>
        </is>
      </c>
      <c r="B187" s="37" t="inlineStr">
        <is>
          <t>0/1</t>
        </is>
      </c>
      <c r="D187" s="38" t="n">
        <v>1</v>
      </c>
      <c r="M187" s="39" t="inlineStr">
        <is>
          <t>ASSUMPTION: included for rigour; stockanalysis EV excludes it (worth ~$0.63/share)</t>
        </is>
      </c>
    </row>
    <row r="188">
      <c r="A188" s="5" t="inlineStr">
        <is>
          <t>Leasing book (equipment net + SCI I stake) at 6/30/26</t>
        </is>
      </c>
      <c r="B188" s="37" t="inlineStr">
        <is>
          <t>$M</t>
        </is>
      </c>
      <c r="D188" s="60">
        <f>Historical!$N$64+Historical!$N$66</f>
        <v/>
      </c>
      <c r="M188" s="39" t="inlineStr">
        <is>
          <t>Formula: 1,146.4 + 365.5 = 1,511.9 (thesis: ~$1.5B)</t>
        </is>
      </c>
    </row>
    <row r="189" ht="23" customHeight="1">
      <c r="A189" s="3" t="inlineStr">
        <is>
          <t>Aerospace EV/EBITDA multiple (x 2027E)</t>
        </is>
      </c>
      <c r="B189" s="37" t="inlineStr">
        <is>
          <t>x</t>
        </is>
      </c>
      <c r="M189" s="39" t="inlineStr">
        <is>
          <t>thesis.md section 2: StandardAero 11.7x / mid / AAR-AerSale-HEICO blend. Mgmt Guide uses Base multiple (bridge isolates EBITDA)</t>
        </is>
      </c>
    </row>
    <row r="190">
      <c r="A190" s="42" t="inlineStr">
        <is>
          <t>Bear</t>
        </is>
      </c>
      <c r="D190" s="62" t="n">
        <v>11.7</v>
      </c>
    </row>
    <row r="191">
      <c r="A191" s="42" t="inlineStr">
        <is>
          <t>Base</t>
        </is>
      </c>
      <c r="D191" s="62" t="n">
        <v>13</v>
      </c>
    </row>
    <row r="192">
      <c r="A192" s="42" t="inlineStr">
        <is>
          <t>Bull</t>
        </is>
      </c>
      <c r="D192" s="62" t="n">
        <v>16</v>
      </c>
    </row>
    <row r="193">
      <c r="A193" s="42" t="inlineStr">
        <is>
          <t>Mgmt Guide</t>
        </is>
      </c>
      <c r="D193" s="62" t="n">
        <v>13</v>
      </c>
    </row>
    <row r="194">
      <c r="A194" s="44" t="inlineStr">
        <is>
          <t>Selected scenario (live)</t>
        </is>
      </c>
      <c r="D194" s="63">
        <f>INDEX(D190:D193,$E$4)</f>
        <v/>
      </c>
    </row>
    <row r="195"/>
    <row r="196">
      <c r="A196" s="3" t="inlineStr">
        <is>
          <t>Power EV/EBITDA multiple</t>
        </is>
      </c>
      <c r="B196" s="37" t="inlineStr">
        <is>
          <t>x</t>
        </is>
      </c>
      <c r="M196" s="39" t="inlineStr">
        <is>
          <t>thesis.md: 8x / 10x / 12x</t>
        </is>
      </c>
    </row>
    <row r="197">
      <c r="A197" s="42" t="inlineStr">
        <is>
          <t>Bear</t>
        </is>
      </c>
      <c r="D197" s="62" t="n">
        <v>8</v>
      </c>
    </row>
    <row r="198">
      <c r="A198" s="42" t="inlineStr">
        <is>
          <t>Base</t>
        </is>
      </c>
      <c r="D198" s="62" t="n">
        <v>10</v>
      </c>
    </row>
    <row r="199">
      <c r="A199" s="42" t="inlineStr">
        <is>
          <t>Bull</t>
        </is>
      </c>
      <c r="D199" s="62" t="n">
        <v>12</v>
      </c>
    </row>
    <row r="200">
      <c r="A200" s="42" t="inlineStr">
        <is>
          <t>Mgmt Guide</t>
        </is>
      </c>
      <c r="D200" s="62" t="n">
        <v>10</v>
      </c>
    </row>
    <row r="201">
      <c r="A201" s="44" t="inlineStr">
        <is>
          <t>Selected scenario (live)</t>
        </is>
      </c>
      <c r="D201" s="63">
        <f>INDEX(D197:D200,$E$4)</f>
        <v/>
      </c>
    </row>
    <row r="202"/>
    <row r="203">
      <c r="A203" s="3" t="inlineStr">
        <is>
          <t>Leasing multiple of book value</t>
        </is>
      </c>
      <c r="B203" s="37" t="inlineStr">
        <is>
          <t>x</t>
        </is>
      </c>
      <c r="M203" s="39" t="inlineStr">
        <is>
          <t>thesis.md: book x 1.0 / 1.0 / 1.2</t>
        </is>
      </c>
    </row>
    <row r="204">
      <c r="A204" s="42" t="inlineStr">
        <is>
          <t>Bear</t>
        </is>
      </c>
      <c r="D204" s="64" t="n">
        <v>1</v>
      </c>
    </row>
    <row r="205">
      <c r="A205" s="42" t="inlineStr">
        <is>
          <t>Base</t>
        </is>
      </c>
      <c r="D205" s="64" t="n">
        <v>1</v>
      </c>
    </row>
    <row r="206">
      <c r="A206" s="42" t="inlineStr">
        <is>
          <t>Bull</t>
        </is>
      </c>
      <c r="D206" s="64" t="n">
        <v>1.2</v>
      </c>
    </row>
    <row r="207">
      <c r="A207" s="42" t="inlineStr">
        <is>
          <t>Mgmt Guide</t>
        </is>
      </c>
      <c r="D207" s="64" t="n">
        <v>1</v>
      </c>
    </row>
    <row r="208">
      <c r="A208" s="44" t="inlineStr">
        <is>
          <t>Selected scenario (live)</t>
        </is>
      </c>
      <c r="D208" s="65">
        <f>INDEX(D204:D207,$E$4)</f>
        <v/>
      </c>
    </row>
    <row r="209"/>
    <row r="210" ht="23" customHeight="1">
      <c r="A210" s="5" t="inlineStr">
        <is>
          <t>Include corporate costs in SOTP (1 = on), capitalised at each scenario's blended Aero+Power multiple</t>
        </is>
      </c>
      <c r="B210" s="37" t="inlineStr">
        <is>
          <t>flag</t>
        </is>
      </c>
      <c r="D210" s="38" t="n">
        <v>1</v>
      </c>
      <c r="M210" s="39" t="inlineStr">
        <is>
          <t>Orchestrator review: corporate costs (~$160M/yr) are real and must be valued. v1 excluded them (spec error)</t>
        </is>
      </c>
    </row>
    <row r="211">
      <c r="A211" s="5" t="inlineStr">
        <is>
          <t>Forward P/E, low (MRO peers AAR / StandardAero / AerSale)</t>
        </is>
      </c>
      <c r="B211" s="37" t="inlineStr">
        <is>
          <t>x</t>
        </is>
      </c>
      <c r="D211" s="62" t="n">
        <v>16</v>
      </c>
      <c r="M211" s="39" t="inlineStr">
        <is>
          <t>thesis.md: 16-18x (peer forward P/E 15.9-18.1x)</t>
        </is>
      </c>
    </row>
    <row r="212">
      <c r="A212" s="5" t="inlineStr">
        <is>
          <t>Forward P/E, high</t>
        </is>
      </c>
      <c r="B212" s="37" t="inlineStr">
        <is>
          <t>x</t>
        </is>
      </c>
      <c r="D212" s="62" t="n">
        <v>18</v>
      </c>
      <c r="M212" s="39" t="inlineStr">
        <is>
          <t>thesis.md</t>
        </is>
      </c>
    </row>
    <row r="213">
      <c r="A213" s="5" t="inlineStr">
        <is>
          <t>FTAI forward P/E per stockanalysis</t>
        </is>
      </c>
      <c r="B213" s="37" t="inlineStr">
        <is>
          <t>x</t>
        </is>
      </c>
      <c r="D213" s="62" t="n">
        <v>20.2</v>
      </c>
      <c r="M213" s="39" t="inlineStr">
        <is>
          <t>stockanalysis 10/6/26. Data notes flag it as inconsistent with its own FY26 EPS (30.8x)</t>
        </is>
      </c>
    </row>
    <row r="214">
      <c r="A214" s="5" t="inlineStr">
        <is>
          <t>Consensus FY27 EPS implied (price / forward P/E)</t>
        </is>
      </c>
      <c r="B214" s="37" t="inlineStr">
        <is>
          <t>$</t>
        </is>
      </c>
      <c r="D214" s="19">
        <f>Drivers!$D$180/Drivers!$D$213</f>
        <v/>
      </c>
      <c r="M214" s="39" t="inlineStr">
        <is>
          <t>Formula = ~$8.87 (implied; FY27 consensus is paywalled)</t>
        </is>
      </c>
    </row>
    <row r="215">
      <c r="A215" s="5" t="inlineStr">
        <is>
          <t>Street mean price target (7 dated post-June PTs)</t>
        </is>
      </c>
      <c r="B215" s="37" t="inlineStr">
        <is>
          <t>$</t>
        </is>
      </c>
      <c r="D215" s="41" t="n">
        <v>330</v>
      </c>
      <c r="M215" s="39" t="inlineStr">
        <is>
          <t>consensus.csv: mean of 290/300/310/350/360/375/325 (median 325)</t>
        </is>
      </c>
    </row>
    <row r="216">
      <c r="A216" s="5" t="inlineStr">
        <is>
          <t>DCF WACC</t>
        </is>
      </c>
      <c r="B216" s="37" t="inlineStr">
        <is>
          <t>%</t>
        </is>
      </c>
      <c r="D216" s="46" t="n">
        <v>0.1</v>
      </c>
      <c r="M216" s="39" t="inlineStr">
        <is>
          <t>ASSUMPTION fixed before viewing output: equity-heavy cyclical aero with 7%+ cost of debt</t>
        </is>
      </c>
    </row>
    <row r="217">
      <c r="A217" s="5" t="inlineStr">
        <is>
          <t>DCF terminal growth</t>
        </is>
      </c>
      <c r="B217" s="37" t="inlineStr">
        <is>
          <t>%</t>
        </is>
      </c>
      <c r="D217" s="46" t="n">
        <v>0.03</v>
      </c>
      <c r="M217" s="39" t="inlineStr">
        <is>
          <t>ASSUMPTION fixed before viewing output</t>
        </is>
      </c>
    </row>
    <row r="218">
      <c r="A218" s="5" t="inlineStr">
        <is>
          <t>Blend weight: SOTP</t>
        </is>
      </c>
      <c r="B218" s="37" t="inlineStr">
        <is>
          <t>%</t>
        </is>
      </c>
      <c r="D218" s="46" t="n">
        <v>0.4</v>
      </c>
      <c r="M218" s="39" t="inlineStr">
        <is>
          <t>ASSUMPTION</t>
        </is>
      </c>
    </row>
    <row r="219">
      <c r="A219" s="5" t="inlineStr">
        <is>
          <t>Blend weight: P/E</t>
        </is>
      </c>
      <c r="B219" s="37" t="inlineStr">
        <is>
          <t>%</t>
        </is>
      </c>
      <c r="D219" s="46" t="n">
        <v>0.3</v>
      </c>
      <c r="M219" s="39" t="inlineStr">
        <is>
          <t>ASSUMPTION</t>
        </is>
      </c>
    </row>
    <row r="220">
      <c r="A220" s="5" t="inlineStr">
        <is>
          <t>Blend weight: DCF</t>
        </is>
      </c>
      <c r="B220" s="37" t="inlineStr">
        <is>
          <t>%</t>
        </is>
      </c>
      <c r="D220" s="46" t="n">
        <v>0.3</v>
      </c>
      <c r="M220" s="39" t="inlineStr">
        <is>
          <t>ASSUMPTION</t>
        </is>
      </c>
    </row>
    <row r="221">
      <c r="A221" s="3" t="inlineStr">
        <is>
          <t>Scenario probability weight</t>
        </is>
      </c>
      <c r="B221" s="37" t="inlineStr">
        <is>
          <t>%</t>
        </is>
      </c>
      <c r="M221" s="39" t="inlineStr">
        <is>
          <t>thesis.md: 25/50/25 (30/50/20 alt). Mgmt Guide 0% (it is the bridge anchor)</t>
        </is>
      </c>
    </row>
    <row r="222">
      <c r="A222" s="42" t="inlineStr">
        <is>
          <t>Bear</t>
        </is>
      </c>
      <c r="D222" s="46" t="n">
        <v>0.25</v>
      </c>
    </row>
    <row r="223">
      <c r="A223" s="42" t="inlineStr">
        <is>
          <t>Base</t>
        </is>
      </c>
      <c r="D223" s="46" t="n">
        <v>0.5</v>
      </c>
    </row>
    <row r="224">
      <c r="A224" s="42" t="inlineStr">
        <is>
          <t>Bull</t>
        </is>
      </c>
      <c r="D224" s="46" t="n">
        <v>0.25</v>
      </c>
    </row>
    <row r="225">
      <c r="A225" s="42" t="inlineStr">
        <is>
          <t>Mgmt Guide</t>
        </is>
      </c>
      <c r="D225" s="46" t="n">
        <v>0</v>
      </c>
    </row>
    <row r="226">
      <c r="A226" s="44" t="inlineStr">
        <is>
          <t>Selected scenario (live)</t>
        </is>
      </c>
      <c r="D226" s="16">
        <f>INDEX(D222:D225,$E$4)</f>
        <v/>
      </c>
    </row>
    <row r="227"/>
    <row r="228">
      <c r="A228" s="5" t="inlineStr">
        <is>
          <t>Recommendation threshold (+/- upside)</t>
        </is>
      </c>
      <c r="B228" s="37" t="inlineStr">
        <is>
          <t>%</t>
        </is>
      </c>
      <c r="D228" s="46" t="n">
        <v>0.1</v>
      </c>
      <c r="M228" s="39" t="inlineStr">
        <is>
          <t>ASSUMPTION: Long if value/price-1 &gt; +10%, Short if &lt; -10%, else Neutral / marginal</t>
        </is>
      </c>
    </row>
    <row r="229">
      <c r="A229" s="5" t="inlineStr">
        <is>
          <t>Marginal-call buffer around the threshold</t>
        </is>
      </c>
      <c r="B229" s="37" t="inlineStr">
        <is>
          <t>%</t>
        </is>
      </c>
      <c r="D229" s="46" t="n">
        <v>0.05</v>
      </c>
      <c r="M229" s="39" t="inlineStr">
        <is>
          <t>ASSUMPTION: flag the call as MARGINAL when |upside| is within 5 points of the threshold</t>
        </is>
      </c>
    </row>
    <row r="230">
      <c r="A230" s="10" t="inlineStr">
        <is>
          <t>7. Scenario engine: segment EBITDA for ALL scenarios in parallel (feeds Valuation SOTP, Bridge, tie-outs)</t>
        </is>
      </c>
      <c r="B230" s="11" t="n"/>
      <c r="C230" s="11" t="n"/>
      <c r="D230" s="11" t="n"/>
      <c r="E230" s="11" t="n"/>
      <c r="F230" s="11" t="n"/>
      <c r="G230" s="11" t="n"/>
      <c r="H230" s="11" t="n"/>
      <c r="I230" s="11" t="n"/>
      <c r="J230" s="11" t="n"/>
      <c r="K230" s="11" t="n"/>
      <c r="L230" s="11" t="n"/>
      <c r="M230" s="11" t="n"/>
    </row>
    <row r="231">
      <c r="A231" s="29" t="inlineStr">
        <is>
          <t>Driver</t>
        </is>
      </c>
      <c r="B231" s="30" t="inlineStr">
        <is>
          <t>Unit</t>
        </is>
      </c>
      <c r="C231" s="30" t="inlineStr">
        <is>
          <t>Q2'26A</t>
        </is>
      </c>
      <c r="D231" s="30" t="inlineStr">
        <is>
          <t>Q3'26E</t>
        </is>
      </c>
      <c r="E231" s="30" t="inlineStr">
        <is>
          <t>Q4'26E</t>
        </is>
      </c>
      <c r="F231" s="30" t="inlineStr">
        <is>
          <t>Q1'27E</t>
        </is>
      </c>
      <c r="G231" s="30" t="inlineStr">
        <is>
          <t>Q2'27E</t>
        </is>
      </c>
      <c r="H231" s="30" t="inlineStr">
        <is>
          <t>Q3'27E</t>
        </is>
      </c>
      <c r="I231" s="30" t="inlineStr">
        <is>
          <t>Q4'27E</t>
        </is>
      </c>
      <c r="J231" s="30" t="inlineStr">
        <is>
          <t>FY2028E</t>
        </is>
      </c>
      <c r="K231" s="30" t="inlineStr">
        <is>
          <t>FY2029E</t>
        </is>
      </c>
      <c r="L231" s="30" t="inlineStr">
        <is>
          <t>FY2030E</t>
        </is>
      </c>
      <c r="M231" s="36" t="inlineStr">
        <is>
          <t>Live check on Checks tab: engine for the selected scenario equals the Quarterly tab</t>
        </is>
      </c>
    </row>
    <row r="232">
      <c r="A232" s="3" t="inlineStr">
        <is>
          <t>Scenario: Bear</t>
        </is>
      </c>
    </row>
    <row r="233">
      <c r="A233" s="42" t="inlineStr">
        <is>
          <t>Aerospace EBITDA</t>
        </is>
      </c>
      <c r="D233" s="60">
        <f>D27*D45</f>
        <v/>
      </c>
      <c r="E233" s="60">
        <f>E27*E45</f>
        <v/>
      </c>
      <c r="F233" s="60">
        <f>F27*F45</f>
        <v/>
      </c>
      <c r="G233" s="60">
        <f>G27*G45</f>
        <v/>
      </c>
      <c r="H233" s="60">
        <f>H27*H45</f>
        <v/>
      </c>
      <c r="I233" s="60">
        <f>I27*I45</f>
        <v/>
      </c>
    </row>
    <row r="234">
      <c r="A234" s="42" t="inlineStr">
        <is>
          <t>Power EBITDA</t>
        </is>
      </c>
      <c r="D234" s="60">
        <f>D64*D71</f>
        <v/>
      </c>
      <c r="E234" s="60">
        <f>E64*E71</f>
        <v/>
      </c>
      <c r="F234" s="60">
        <f>F64*F71</f>
        <v/>
      </c>
      <c r="G234" s="60">
        <f>G64*G71</f>
        <v/>
      </c>
      <c r="H234" s="60">
        <f>H64*H71</f>
        <v/>
      </c>
      <c r="I234" s="60">
        <f>I64*I71</f>
        <v/>
      </c>
    </row>
    <row r="235">
      <c r="A235" s="42" t="inlineStr">
        <is>
          <t>Leasing book, end of period</t>
        </is>
      </c>
      <c r="D235" s="60">
        <f>Historical!$N$64-D84-Drivers!$D$129*Historical!$N$64+D117</f>
        <v/>
      </c>
      <c r="E235" s="60">
        <f>D235-E84-Drivers!$D$129*D235+E117</f>
        <v/>
      </c>
      <c r="F235" s="60">
        <f>E235-F84-Drivers!$D$129*E235+F117</f>
        <v/>
      </c>
      <c r="G235" s="60">
        <f>F235-G84-Drivers!$D$129*F235+G117</f>
        <v/>
      </c>
      <c r="H235" s="60">
        <f>G235-H84-Drivers!$D$129*G235+H117</f>
        <v/>
      </c>
      <c r="I235" s="60">
        <f>H235-I84-Drivers!$D$129*H235+I117</f>
        <v/>
      </c>
    </row>
    <row r="236">
      <c r="A236" s="42" t="inlineStr">
        <is>
          <t>Leasing EBITDA</t>
        </is>
      </c>
      <c r="D236" s="60">
        <f>Drivers!$D$91/Drivers!$D$18*Historical!$N$64+Drivers!$D$90*D84+Drivers!$D$100/Drivers!$D$18*C93+D102+D108</f>
        <v/>
      </c>
      <c r="E236" s="60">
        <f>Drivers!$D$91/Drivers!$D$18*D235+Drivers!$D$90*E84+Drivers!$D$100/Drivers!$D$18*D93+E102+E108</f>
        <v/>
      </c>
      <c r="F236" s="60">
        <f>Drivers!$D$91/Drivers!$D$18*E235+Drivers!$D$90*F84+Drivers!$D$100/Drivers!$D$18*E93+F102+F108</f>
        <v/>
      </c>
      <c r="G236" s="60">
        <f>Drivers!$D$91/Drivers!$D$18*F235+Drivers!$D$90*G84+Drivers!$D$100/Drivers!$D$18*F93+G102+G108</f>
        <v/>
      </c>
      <c r="H236" s="60">
        <f>Drivers!$D$91/Drivers!$D$18*G235+Drivers!$D$90*H84+Drivers!$D$100/Drivers!$D$18*G93+H102+H108</f>
        <v/>
      </c>
      <c r="I236" s="60">
        <f>Drivers!$D$91/Drivers!$D$18*H235+Drivers!$D$90*I84+Drivers!$D$100/Drivers!$D$18*H93+I102+I108</f>
        <v/>
      </c>
    </row>
    <row r="237">
      <c r="A237" s="42" t="inlineStr">
        <is>
          <t>Segment-basis EBITDA</t>
        </is>
      </c>
      <c r="D237" s="35">
        <f>D233+D234+D236</f>
        <v/>
      </c>
      <c r="E237" s="35">
        <f>E233+E234+E236</f>
        <v/>
      </c>
      <c r="F237" s="35">
        <f>F233+F234+F236</f>
        <v/>
      </c>
      <c r="G237" s="35">
        <f>G233+G234+G236</f>
        <v/>
      </c>
      <c r="H237" s="35">
        <f>H233+H234+H236</f>
        <v/>
      </c>
      <c r="I237" s="35">
        <f>I233+I234+I236</f>
        <v/>
      </c>
    </row>
    <row r="238">
      <c r="A238" s="3" t="inlineStr">
        <is>
          <t>Scenario: Base</t>
        </is>
      </c>
    </row>
    <row r="239">
      <c r="A239" s="42" t="inlineStr">
        <is>
          <t>Aerospace EBITDA</t>
        </is>
      </c>
      <c r="D239" s="60">
        <f>D28*D46</f>
        <v/>
      </c>
      <c r="E239" s="60">
        <f>E28*E46</f>
        <v/>
      </c>
      <c r="F239" s="60">
        <f>F28*F46</f>
        <v/>
      </c>
      <c r="G239" s="60">
        <f>G28*G46</f>
        <v/>
      </c>
      <c r="H239" s="60">
        <f>H28*H46</f>
        <v/>
      </c>
      <c r="I239" s="60">
        <f>I28*I46</f>
        <v/>
      </c>
    </row>
    <row r="240">
      <c r="A240" s="42" t="inlineStr">
        <is>
          <t>Power EBITDA</t>
        </is>
      </c>
      <c r="D240" s="60">
        <f>D65*D72</f>
        <v/>
      </c>
      <c r="E240" s="60">
        <f>E65*E72</f>
        <v/>
      </c>
      <c r="F240" s="60">
        <f>F65*F72</f>
        <v/>
      </c>
      <c r="G240" s="60">
        <f>G65*G72</f>
        <v/>
      </c>
      <c r="H240" s="60">
        <f>H65*H72</f>
        <v/>
      </c>
      <c r="I240" s="60">
        <f>I65*I72</f>
        <v/>
      </c>
    </row>
    <row r="241">
      <c r="A241" s="42" t="inlineStr">
        <is>
          <t>Leasing book, end of period</t>
        </is>
      </c>
      <c r="D241" s="60">
        <f>Historical!$N$64-D85-Drivers!$D$129*Historical!$N$64+D117</f>
        <v/>
      </c>
      <c r="E241" s="60">
        <f>D241-E85-Drivers!$D$129*D241+E117</f>
        <v/>
      </c>
      <c r="F241" s="60">
        <f>E241-F85-Drivers!$D$129*E241+F117</f>
        <v/>
      </c>
      <c r="G241" s="60">
        <f>F241-G85-Drivers!$D$129*F241+G117</f>
        <v/>
      </c>
      <c r="H241" s="60">
        <f>G241-H85-Drivers!$D$129*G241+H117</f>
        <v/>
      </c>
      <c r="I241" s="60">
        <f>H241-I85-Drivers!$D$129*H241+I117</f>
        <v/>
      </c>
    </row>
    <row r="242">
      <c r="A242" s="42" t="inlineStr">
        <is>
          <t>Leasing EBITDA</t>
        </is>
      </c>
      <c r="D242" s="60">
        <f>Drivers!$D$91/Drivers!$D$18*Historical!$N$64+Drivers!$D$90*D85+Drivers!$D$100/Drivers!$D$18*C94+D103+D108</f>
        <v/>
      </c>
      <c r="E242" s="60">
        <f>Drivers!$D$91/Drivers!$D$18*D241+Drivers!$D$90*E85+Drivers!$D$100/Drivers!$D$18*D94+E103+E108</f>
        <v/>
      </c>
      <c r="F242" s="60">
        <f>Drivers!$D$91/Drivers!$D$18*E241+Drivers!$D$90*F85+Drivers!$D$100/Drivers!$D$18*E94+F103+F108</f>
        <v/>
      </c>
      <c r="G242" s="60">
        <f>Drivers!$D$91/Drivers!$D$18*F241+Drivers!$D$90*G85+Drivers!$D$100/Drivers!$D$18*F94+G103+G108</f>
        <v/>
      </c>
      <c r="H242" s="60">
        <f>Drivers!$D$91/Drivers!$D$18*G241+Drivers!$D$90*H85+Drivers!$D$100/Drivers!$D$18*G94+H103+H108</f>
        <v/>
      </c>
      <c r="I242" s="60">
        <f>Drivers!$D$91/Drivers!$D$18*H241+Drivers!$D$90*I85+Drivers!$D$100/Drivers!$D$18*H94+I103+I108</f>
        <v/>
      </c>
    </row>
    <row r="243">
      <c r="A243" s="42" t="inlineStr">
        <is>
          <t>Segment-basis EBITDA</t>
        </is>
      </c>
      <c r="D243" s="35">
        <f>D239+D240+D242</f>
        <v/>
      </c>
      <c r="E243" s="35">
        <f>E239+E240+E242</f>
        <v/>
      </c>
      <c r="F243" s="35">
        <f>F239+F240+F242</f>
        <v/>
      </c>
      <c r="G243" s="35">
        <f>G239+G240+G242</f>
        <v/>
      </c>
      <c r="H243" s="35">
        <f>H239+H240+H242</f>
        <v/>
      </c>
      <c r="I243" s="35">
        <f>I239+I240+I242</f>
        <v/>
      </c>
    </row>
    <row r="244">
      <c r="A244" s="3" t="inlineStr">
        <is>
          <t>Scenario: Bull</t>
        </is>
      </c>
    </row>
    <row r="245">
      <c r="A245" s="42" t="inlineStr">
        <is>
          <t>Aerospace EBITDA</t>
        </is>
      </c>
      <c r="D245" s="60">
        <f>D29*D47</f>
        <v/>
      </c>
      <c r="E245" s="60">
        <f>E29*E47</f>
        <v/>
      </c>
      <c r="F245" s="60">
        <f>F29*F47</f>
        <v/>
      </c>
      <c r="G245" s="60">
        <f>G29*G47</f>
        <v/>
      </c>
      <c r="H245" s="60">
        <f>H29*H47</f>
        <v/>
      </c>
      <c r="I245" s="60">
        <f>I29*I47</f>
        <v/>
      </c>
    </row>
    <row r="246">
      <c r="A246" s="42" t="inlineStr">
        <is>
          <t>Power EBITDA</t>
        </is>
      </c>
      <c r="D246" s="60">
        <f>D66*D73</f>
        <v/>
      </c>
      <c r="E246" s="60">
        <f>E66*E73</f>
        <v/>
      </c>
      <c r="F246" s="60">
        <f>F66*F73</f>
        <v/>
      </c>
      <c r="G246" s="60">
        <f>G66*G73</f>
        <v/>
      </c>
      <c r="H246" s="60">
        <f>H66*H73</f>
        <v/>
      </c>
      <c r="I246" s="60">
        <f>I66*I73</f>
        <v/>
      </c>
    </row>
    <row r="247">
      <c r="A247" s="42" t="inlineStr">
        <is>
          <t>Leasing book, end of period</t>
        </is>
      </c>
      <c r="D247" s="60">
        <f>Historical!$N$64-D86-Drivers!$D$129*Historical!$N$64+D117</f>
        <v/>
      </c>
      <c r="E247" s="60">
        <f>D247-E86-Drivers!$D$129*D247+E117</f>
        <v/>
      </c>
      <c r="F247" s="60">
        <f>E247-F86-Drivers!$D$129*E247+F117</f>
        <v/>
      </c>
      <c r="G247" s="60">
        <f>F247-G86-Drivers!$D$129*F247+G117</f>
        <v/>
      </c>
      <c r="H247" s="60">
        <f>G247-H86-Drivers!$D$129*G247+H117</f>
        <v/>
      </c>
      <c r="I247" s="60">
        <f>H247-I86-Drivers!$D$129*H247+I117</f>
        <v/>
      </c>
    </row>
    <row r="248">
      <c r="A248" s="42" t="inlineStr">
        <is>
          <t>Leasing EBITDA</t>
        </is>
      </c>
      <c r="D248" s="60">
        <f>Drivers!$D$91/Drivers!$D$18*Historical!$N$64+Drivers!$D$90*D86+Drivers!$D$100/Drivers!$D$18*C95+D104+D108</f>
        <v/>
      </c>
      <c r="E248" s="60">
        <f>Drivers!$D$91/Drivers!$D$18*D247+Drivers!$D$90*E86+Drivers!$D$100/Drivers!$D$18*D95+E104+E108</f>
        <v/>
      </c>
      <c r="F248" s="60">
        <f>Drivers!$D$91/Drivers!$D$18*E247+Drivers!$D$90*F86+Drivers!$D$100/Drivers!$D$18*E95+F104+F108</f>
        <v/>
      </c>
      <c r="G248" s="60">
        <f>Drivers!$D$91/Drivers!$D$18*F247+Drivers!$D$90*G86+Drivers!$D$100/Drivers!$D$18*F95+G104+G108</f>
        <v/>
      </c>
      <c r="H248" s="60">
        <f>Drivers!$D$91/Drivers!$D$18*G247+Drivers!$D$90*H86+Drivers!$D$100/Drivers!$D$18*G95+H104+H108</f>
        <v/>
      </c>
      <c r="I248" s="60">
        <f>Drivers!$D$91/Drivers!$D$18*H247+Drivers!$D$90*I86+Drivers!$D$100/Drivers!$D$18*H95+I104+I108</f>
        <v/>
      </c>
    </row>
    <row r="249">
      <c r="A249" s="42" t="inlineStr">
        <is>
          <t>Segment-basis EBITDA</t>
        </is>
      </c>
      <c r="D249" s="35">
        <f>D245+D246+D248</f>
        <v/>
      </c>
      <c r="E249" s="35">
        <f>E245+E246+E248</f>
        <v/>
      </c>
      <c r="F249" s="35">
        <f>F245+F246+F248</f>
        <v/>
      </c>
      <c r="G249" s="35">
        <f>G245+G246+G248</f>
        <v/>
      </c>
      <c r="H249" s="35">
        <f>H245+H246+H248</f>
        <v/>
      </c>
      <c r="I249" s="35">
        <f>I245+I246+I248</f>
        <v/>
      </c>
    </row>
    <row r="250">
      <c r="A250" s="3" t="inlineStr">
        <is>
          <t>Scenario: Mgmt Guide</t>
        </is>
      </c>
    </row>
    <row r="251">
      <c r="A251" s="42" t="inlineStr">
        <is>
          <t>Aerospace EBITDA</t>
        </is>
      </c>
      <c r="D251" s="60">
        <f>D30*D48</f>
        <v/>
      </c>
      <c r="E251" s="60">
        <f>E30*E48</f>
        <v/>
      </c>
      <c r="F251" s="60">
        <f>F30*F48</f>
        <v/>
      </c>
      <c r="G251" s="60">
        <f>G30*G48</f>
        <v/>
      </c>
      <c r="H251" s="60">
        <f>H30*H48</f>
        <v/>
      </c>
      <c r="I251" s="60">
        <f>I30*I48</f>
        <v/>
      </c>
    </row>
    <row r="252">
      <c r="A252" s="42" t="inlineStr">
        <is>
          <t>Power EBITDA</t>
        </is>
      </c>
      <c r="D252" s="60">
        <f>D67*D74</f>
        <v/>
      </c>
      <c r="E252" s="60">
        <f>E67*E74</f>
        <v/>
      </c>
      <c r="F252" s="60">
        <f>F67*F74</f>
        <v/>
      </c>
      <c r="G252" s="60">
        <f>G67*G74</f>
        <v/>
      </c>
      <c r="H252" s="60">
        <f>H67*H74</f>
        <v/>
      </c>
      <c r="I252" s="60">
        <f>I67*I74</f>
        <v/>
      </c>
    </row>
    <row r="253">
      <c r="A253" s="42" t="inlineStr">
        <is>
          <t>Leasing book, end of period</t>
        </is>
      </c>
      <c r="D253" s="60">
        <f>Historical!$N$64-D87-Drivers!$D$129*Historical!$N$64+D117</f>
        <v/>
      </c>
      <c r="E253" s="60">
        <f>D253-E87-Drivers!$D$129*D253+E117</f>
        <v/>
      </c>
      <c r="F253" s="60">
        <f>E253-F87-Drivers!$D$129*E253+F117</f>
        <v/>
      </c>
      <c r="G253" s="60">
        <f>F253-G87-Drivers!$D$129*F253+G117</f>
        <v/>
      </c>
      <c r="H253" s="60">
        <f>G253-H87-Drivers!$D$129*G253+H117</f>
        <v/>
      </c>
      <c r="I253" s="60">
        <f>H253-I87-Drivers!$D$129*H253+I117</f>
        <v/>
      </c>
    </row>
    <row r="254">
      <c r="A254" s="42" t="inlineStr">
        <is>
          <t>Leasing EBITDA</t>
        </is>
      </c>
      <c r="D254" s="60">
        <f>Drivers!$D$91/Drivers!$D$18*Historical!$N$64+Drivers!$D$90*D87+Drivers!$D$100/Drivers!$D$18*C96+D105+D108</f>
        <v/>
      </c>
      <c r="E254" s="60">
        <f>Drivers!$D$91/Drivers!$D$18*D253+Drivers!$D$90*E87+Drivers!$D$100/Drivers!$D$18*D96+E105+E108</f>
        <v/>
      </c>
      <c r="F254" s="60">
        <f>Drivers!$D$91/Drivers!$D$18*E253+Drivers!$D$90*F87+Drivers!$D$100/Drivers!$D$18*E96+F105+F108</f>
        <v/>
      </c>
      <c r="G254" s="60">
        <f>Drivers!$D$91/Drivers!$D$18*F253+Drivers!$D$90*G87+Drivers!$D$100/Drivers!$D$18*F96+G105+G108</f>
        <v/>
      </c>
      <c r="H254" s="60">
        <f>Drivers!$D$91/Drivers!$D$18*G253+Drivers!$D$90*H87+Drivers!$D$100/Drivers!$D$18*G96+H105+H108</f>
        <v/>
      </c>
      <c r="I254" s="60">
        <f>Drivers!$D$91/Drivers!$D$18*H253+Drivers!$D$90*I87+Drivers!$D$100/Drivers!$D$18*H96+I105+I108</f>
        <v/>
      </c>
    </row>
    <row r="255">
      <c r="A255" s="42" t="inlineStr">
        <is>
          <t>Segment-basis EBITDA</t>
        </is>
      </c>
      <c r="D255" s="35">
        <f>D251+D252+D254</f>
        <v/>
      </c>
      <c r="E255" s="35">
        <f>E251+E252+E254</f>
        <v/>
      </c>
      <c r="F255" s="35">
        <f>F251+F252+F254</f>
        <v/>
      </c>
      <c r="G255" s="35">
        <f>G251+G252+G254</f>
        <v/>
      </c>
      <c r="H255" s="35">
        <f>H251+H252+H254</f>
        <v/>
      </c>
      <c r="I255" s="35">
        <f>I251+I252+I254</f>
        <v/>
      </c>
    </row>
    <row r="256"/>
    <row r="257">
      <c r="A257" s="10" t="inlineStr">
        <is>
          <t>Scenario summary: segment-basis Adjusted EBITDA (guide basis: excludes Corporate and Eliminations)</t>
        </is>
      </c>
      <c r="B257" s="11" t="n"/>
      <c r="C257" s="11" t="n"/>
      <c r="D257" s="11" t="n"/>
      <c r="E257" s="11" t="n"/>
      <c r="F257" s="11" t="n"/>
      <c r="G257" s="11" t="n"/>
      <c r="H257" s="11" t="n"/>
      <c r="I257" s="11" t="n"/>
      <c r="J257" s="11" t="n"/>
      <c r="K257" s="11" t="n"/>
      <c r="L257" s="11" t="n"/>
      <c r="M257" s="11" t="n"/>
    </row>
    <row r="258">
      <c r="A258" s="66" t="inlineStr"/>
      <c r="B258" s="30" t="inlineStr"/>
      <c r="C258" s="30" t="inlineStr"/>
      <c r="D258" s="30" t="inlineStr">
        <is>
          <t>Bear</t>
        </is>
      </c>
      <c r="E258" s="30" t="inlineStr">
        <is>
          <t>Base</t>
        </is>
      </c>
      <c r="F258" s="30" t="inlineStr">
        <is>
          <t>Bull</t>
        </is>
      </c>
      <c r="G258" s="30" t="inlineStr">
        <is>
          <t>Mgmt Guide</t>
        </is>
      </c>
      <c r="H258" s="30" t="inlineStr">
        <is>
          <t>Selected</t>
        </is>
      </c>
      <c r="I258" s="30" t="inlineStr"/>
      <c r="J258" s="30" t="inlineStr"/>
      <c r="K258" s="30" t="inlineStr"/>
      <c r="L258" s="30" t="inlineStr">
        <is>
          <t>Target / source</t>
        </is>
      </c>
    </row>
    <row r="259">
      <c r="A259" s="5" t="inlineStr">
        <is>
          <t>FY2026E Aerospace</t>
        </is>
      </c>
      <c r="D259" s="60">
        <f>Historical!$M$33+Historical!$N$33+SUM(D233:E233)</f>
        <v/>
      </c>
      <c r="E259" s="60">
        <f>Historical!$M$33+Historical!$N$33+SUM(D239:E239)</f>
        <v/>
      </c>
      <c r="F259" s="60">
        <f>Historical!$M$33+Historical!$N$33+SUM(D245:E245)</f>
        <v/>
      </c>
      <c r="G259" s="60">
        <f>Historical!$M$33+Historical!$N$33+SUM(D251:E251)</f>
        <v/>
      </c>
      <c r="H259" s="35">
        <f>INDEX(D259:G259,$E$4)</f>
        <v/>
      </c>
      <c r="M259" s="39" t="inlineStr">
        <is>
          <t>Guide 1,050</t>
        </is>
      </c>
    </row>
    <row r="260">
      <c r="A260" s="5" t="inlineStr">
        <is>
          <t>FY2026E Power</t>
        </is>
      </c>
      <c r="D260" s="60">
        <f>SUM(D234:E234)</f>
        <v/>
      </c>
      <c r="E260" s="60">
        <f>SUM(D240:E240)</f>
        <v/>
      </c>
      <c r="F260" s="60">
        <f>SUM(D246:E246)</f>
        <v/>
      </c>
      <c r="G260" s="60">
        <f>SUM(D252:E252)</f>
        <v/>
      </c>
      <c r="H260" s="35">
        <f>INDEX(D260:G260,$E$4)</f>
        <v/>
      </c>
    </row>
    <row r="261">
      <c r="A261" s="5" t="inlineStr">
        <is>
          <t>FY2026E Leasing</t>
        </is>
      </c>
      <c r="D261" s="60">
        <f>Historical!$M$34+Historical!$N$34+SUM(D236:E236)</f>
        <v/>
      </c>
      <c r="E261" s="60">
        <f>Historical!$M$34+Historical!$N$34+SUM(D242:E242)</f>
        <v/>
      </c>
      <c r="F261" s="60">
        <f>Historical!$M$34+Historical!$N$34+SUM(D248:E248)</f>
        <v/>
      </c>
      <c r="G261" s="60">
        <f>Historical!$M$34+Historical!$N$34+SUM(D254:E254)</f>
        <v/>
      </c>
      <c r="H261" s="35">
        <f>INDEX(D261:G261,$E$4)</f>
        <v/>
      </c>
      <c r="M261" s="39" t="inlineStr">
        <is>
          <t>Guide 475</t>
        </is>
      </c>
    </row>
    <row r="262">
      <c r="A262" s="3" t="inlineStr">
        <is>
          <t>FY2026E Segment total</t>
        </is>
      </c>
      <c r="D262" s="35">
        <f>SUM(D259:D261)</f>
        <v/>
      </c>
      <c r="E262" s="35">
        <f>SUM(E259:E261)</f>
        <v/>
      </c>
      <c r="F262" s="35">
        <f>SUM(F259:F261)</f>
        <v/>
      </c>
      <c r="G262" s="35">
        <f>SUM(G259:G261)</f>
        <v/>
      </c>
      <c r="H262" s="35">
        <f>INDEX(D262:G262,$E$4)</f>
        <v/>
      </c>
      <c r="M262" s="39" t="inlineStr">
        <is>
          <t>Mgmt guide 2026: 1,525 (Aero 1,050 + Leasing 475; 7/29/26 8-K)</t>
        </is>
      </c>
    </row>
    <row r="263">
      <c r="A263" s="5" t="inlineStr">
        <is>
          <t>FY2027E Aerospace</t>
        </is>
      </c>
      <c r="D263" s="60">
        <f>SUM(F233:I233)</f>
        <v/>
      </c>
      <c r="E263" s="60">
        <f>SUM(F239:I239)</f>
        <v/>
      </c>
      <c r="F263" s="60">
        <f>SUM(F245:I245)</f>
        <v/>
      </c>
      <c r="G263" s="60">
        <f>SUM(F251:I251)</f>
        <v/>
      </c>
      <c r="H263" s="35">
        <f>INDEX(D263:G263,$E$4)</f>
        <v/>
      </c>
      <c r="M263" s="39" t="inlineStr">
        <is>
          <t>Bear 1,050 / Base 1,230 / Bull 1,430 / Mgmt 1,400</t>
        </is>
      </c>
    </row>
    <row r="264">
      <c r="A264" s="5" t="inlineStr">
        <is>
          <t>FY2027E Power</t>
        </is>
      </c>
      <c r="D264" s="60">
        <f>SUM(F234:I234)</f>
        <v/>
      </c>
      <c r="E264" s="60">
        <f>SUM(F240:I240)</f>
        <v/>
      </c>
      <c r="F264" s="60">
        <f>SUM(F246:I246)</f>
        <v/>
      </c>
      <c r="G264" s="60">
        <f>SUM(F252:I252)</f>
        <v/>
      </c>
      <c r="H264" s="35">
        <f>INDEX(D264:G264,$E$4)</f>
        <v/>
      </c>
      <c r="M264" s="39" t="inlineStr">
        <is>
          <t>Bear 150 / Base 330 / Bull 600 / Mgmt 450</t>
        </is>
      </c>
    </row>
    <row r="265">
      <c r="A265" s="5" t="inlineStr">
        <is>
          <t>FY2027E Leasing</t>
        </is>
      </c>
      <c r="D265" s="60">
        <f>SUM(F236:I236)</f>
        <v/>
      </c>
      <c r="E265" s="60">
        <f>SUM(F242:I242)</f>
        <v/>
      </c>
      <c r="F265" s="60">
        <f>SUM(F248:I248)</f>
        <v/>
      </c>
      <c r="G265" s="60">
        <f>SUM(F254:I254)</f>
        <v/>
      </c>
      <c r="H265" s="35">
        <f>INDEX(D265:G265,$E$4)</f>
        <v/>
      </c>
      <c r="M265" s="39" t="inlineStr">
        <is>
          <t>Bear 270 / Base 360 / Bull 450 / Mgmt 450</t>
        </is>
      </c>
    </row>
    <row r="266">
      <c r="A266" s="3" t="inlineStr">
        <is>
          <t>FY2027E Segment total</t>
        </is>
      </c>
      <c r="D266" s="35">
        <f>SUM(D263:D265)</f>
        <v/>
      </c>
      <c r="E266" s="35">
        <f>SUM(E263:E265)</f>
        <v/>
      </c>
      <c r="F266" s="35">
        <f>SUM(F263:F265)</f>
        <v/>
      </c>
      <c r="G266" s="35">
        <f>SUM(G263:G265)</f>
        <v/>
      </c>
      <c r="H266" s="35">
        <f>INDEX(D266:G266,$E$4)</f>
        <v/>
      </c>
      <c r="M266" s="39" t="inlineStr">
        <is>
          <t>Targets: Bear 1,470 / Base 1,920 / Bull 2,480 / Mgmt 2,300 (A_2027_guide_segment_build.csv)</t>
        </is>
      </c>
    </row>
    <row r="267"/>
    <row r="268"/>
    <row r="269"/>
  </sheetData>
  <dataValidations count="1">
    <dataValidation sqref="C4" showDropDown="0" showInputMessage="0" showErrorMessage="0" allowBlank="0" type="list">
      <formula1>"Bear,Base,Bull,Mgmt Guide"</formula1>
    </dataValidation>
  </dataValidations>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O8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90" customWidth="1" min="15" max="15"/>
  </cols>
  <sheetData>
    <row r="1">
      <c r="A1" s="1" t="inlineStr">
        <is>
          <t>Historical financials (typed inputs, blue; each row cites its source)</t>
        </is>
      </c>
    </row>
    <row r="2">
      <c r="A2" s="2" t="inlineStr">
        <is>
          <t>USD millions except per-share. Fiscal year = calendar year. Q4 figures are derived as FY less 9M, so 'quarters sum to FY' for IS rows holds by construction (not independent verification).</t>
        </is>
      </c>
    </row>
    <row r="4">
      <c r="A4" s="13" t="inlineStr">
        <is>
          <t>USD m</t>
        </is>
      </c>
      <c r="B4" s="14" t="inlineStr">
        <is>
          <t>FY2023A</t>
        </is>
      </c>
      <c r="C4" s="14" t="inlineStr">
        <is>
          <t>FY2024A</t>
        </is>
      </c>
      <c r="D4" s="14" t="inlineStr">
        <is>
          <t>FY2025A</t>
        </is>
      </c>
      <c r="E4" s="14" t="inlineStr">
        <is>
          <t>Q1'24A</t>
        </is>
      </c>
      <c r="F4" s="14" t="inlineStr">
        <is>
          <t>Q2'24A</t>
        </is>
      </c>
      <c r="G4" s="14" t="inlineStr">
        <is>
          <t>Q3'24A</t>
        </is>
      </c>
      <c r="H4" s="14" t="inlineStr">
        <is>
          <t>Q4'24A</t>
        </is>
      </c>
      <c r="I4" s="14" t="inlineStr">
        <is>
          <t>Q1'25A</t>
        </is>
      </c>
      <c r="J4" s="14" t="inlineStr">
        <is>
          <t>Q2'25A</t>
        </is>
      </c>
      <c r="K4" s="14" t="inlineStr">
        <is>
          <t>Q3'25A</t>
        </is>
      </c>
      <c r="L4" s="14" t="inlineStr">
        <is>
          <t>Q4'25A</t>
        </is>
      </c>
      <c r="M4" s="14" t="inlineStr">
        <is>
          <t>Q1'26A</t>
        </is>
      </c>
      <c r="N4" s="14" t="inlineStr">
        <is>
          <t>Q2'26A</t>
        </is>
      </c>
      <c r="O4" s="14" t="inlineStr">
        <is>
          <t>Source / rationale</t>
        </is>
      </c>
    </row>
    <row r="5">
      <c r="A5" s="10" t="inlineStr">
        <is>
          <t>Income statement (USD m, EPS in $)</t>
        </is>
      </c>
      <c r="B5" s="11" t="n"/>
      <c r="C5" s="11" t="n"/>
      <c r="D5" s="11" t="n"/>
      <c r="E5" s="11" t="n"/>
      <c r="F5" s="11" t="n"/>
      <c r="G5" s="11" t="n"/>
      <c r="H5" s="11" t="n"/>
      <c r="I5" s="11" t="n"/>
      <c r="J5" s="11" t="n"/>
      <c r="K5" s="11" t="n"/>
      <c r="L5" s="11" t="n"/>
      <c r="M5" s="11" t="n"/>
      <c r="N5" s="11" t="n"/>
      <c r="O5" s="11" t="n"/>
    </row>
    <row r="6" ht="23" customHeight="1">
      <c r="A6" s="5" t="inlineStr">
        <is>
          <t>Aerospace products revenue (ex-MRE)</t>
        </is>
      </c>
      <c r="B6" s="40" t="n">
        <v>454.97</v>
      </c>
      <c r="C6" s="40" t="n">
        <v>1079.821</v>
      </c>
      <c r="D6" s="40" t="n">
        <v>1600.456</v>
      </c>
      <c r="E6" s="40" t="n">
        <v>189.057</v>
      </c>
      <c r="F6" s="40" t="n">
        <v>245.2</v>
      </c>
      <c r="G6" s="40" t="n">
        <v>303.469</v>
      </c>
      <c r="H6" s="40" t="n">
        <v>342.095</v>
      </c>
      <c r="I6" s="40" t="n">
        <v>264.425</v>
      </c>
      <c r="J6" s="40" t="n">
        <v>420.686</v>
      </c>
      <c r="K6" s="40" t="n">
        <v>459.206</v>
      </c>
      <c r="L6" s="40" t="n">
        <v>456.139</v>
      </c>
      <c r="M6" s="40" t="n">
        <v>522.585</v>
      </c>
      <c r="N6" s="40" t="n">
        <v>692.229</v>
      </c>
      <c r="O6" s="39" t="inlineStr">
        <is>
          <t>SEC EDGAR 10-Q/10-K segment note, latest filing containing each period (Q2-26 10-Q acc 0001628280-26-051412; FY25 10-K; Q4 = FY less 9M, derived). Via phase2/data/is_quarterly.csv</t>
        </is>
      </c>
    </row>
    <row r="7" ht="23" customHeight="1">
      <c r="A7" s="5" t="inlineStr">
        <is>
          <t>MRE Contract revenue (to 2025 Partnership)</t>
        </is>
      </c>
      <c r="D7" s="40" t="n">
        <v>335.788</v>
      </c>
      <c r="I7" s="40" t="n">
        <v>100.638</v>
      </c>
      <c r="J7" s="40" t="n">
        <v>69.58499999999999</v>
      </c>
      <c r="K7" s="40" t="n">
        <v>58.663</v>
      </c>
      <c r="L7" s="40" t="n">
        <v>106.902</v>
      </c>
      <c r="M7" s="40" t="n">
        <v>221.23</v>
      </c>
      <c r="N7" s="40" t="n">
        <v>182.799</v>
      </c>
      <c r="O7" s="39" t="inlineStr">
        <is>
          <t>SEC EDGAR 10-Q/10-K segment note, latest filing containing each period (Q2-26 10-Q acc 0001628280-26-051412; FY25 10-K; Q4 = FY less 9M, derived). Via phase2/data/is_quarterly.csv. Starts Q1-25</t>
        </is>
      </c>
    </row>
    <row r="8" ht="33.5" customHeight="1">
      <c r="A8" s="5" t="inlineStr">
        <is>
          <t>Lease income</t>
        </is>
      </c>
      <c r="B8" s="40" t="n">
        <v>207.936</v>
      </c>
      <c r="C8" s="40" t="n">
        <v>255.338</v>
      </c>
      <c r="D8" s="40" t="n">
        <v>235.21</v>
      </c>
      <c r="E8" s="40" t="n">
        <v>53.24</v>
      </c>
      <c r="F8" s="40" t="n">
        <v>70.754</v>
      </c>
      <c r="G8" s="40" t="n">
        <v>65.45</v>
      </c>
      <c r="H8" s="40" t="n">
        <v>65.973</v>
      </c>
      <c r="I8" s="40" t="n">
        <v>68.44</v>
      </c>
      <c r="J8" s="40" t="n">
        <v>62.439</v>
      </c>
      <c r="K8" s="40" t="n">
        <v>55.072</v>
      </c>
      <c r="L8" s="40" t="n">
        <v>49.259</v>
      </c>
      <c r="M8" s="40" t="n">
        <v>39.892</v>
      </c>
      <c r="N8" s="40" t="n">
        <v>27.765</v>
      </c>
      <c r="O8" s="39" t="inlineStr">
        <is>
          <t>SEC EDGAR 10-Q/10-K segment note, latest filing containing each period (Q2-26 10-Q acc 0001628280-26-051412; FY25 10-K; Q4 = FY less 9M, derived). Via phase2/data/is_quarterly.csv. FY24 differs from quarterly sum by 0.08 (recast between lease income and other revenue; total unaffected)</t>
        </is>
      </c>
    </row>
    <row r="9" ht="23" customHeight="1">
      <c r="A9" s="5" t="inlineStr">
        <is>
          <t>Maintenance revenue</t>
        </is>
      </c>
      <c r="B9" s="40" t="n">
        <v>191.347</v>
      </c>
      <c r="C9" s="40" t="n">
        <v>200.809</v>
      </c>
      <c r="D9" s="40" t="n">
        <v>218.499</v>
      </c>
      <c r="E9" s="40" t="n">
        <v>45.79</v>
      </c>
      <c r="F9" s="40" t="n">
        <v>51.187</v>
      </c>
      <c r="G9" s="40" t="n">
        <v>59.917</v>
      </c>
      <c r="H9" s="40" t="n">
        <v>43.915</v>
      </c>
      <c r="I9" s="40" t="n">
        <v>49.607</v>
      </c>
      <c r="J9" s="40" t="n">
        <v>73.104</v>
      </c>
      <c r="K9" s="40" t="n">
        <v>52.37</v>
      </c>
      <c r="L9" s="40" t="n">
        <v>43.418</v>
      </c>
      <c r="M9" s="40" t="n">
        <v>30.599</v>
      </c>
      <c r="N9" s="40" t="n">
        <v>25.793</v>
      </c>
      <c r="O9" s="39" t="inlineStr">
        <is>
          <t>SEC EDGAR 10-Q/10-K segment note, latest filing containing each period (Q2-26 10-Q acc 0001628280-26-051412; FY25 10-K; Q4 = FY less 9M, derived). Via phase2/data/is_quarterly.csv</t>
        </is>
      </c>
    </row>
    <row r="10" ht="23" customHeight="1">
      <c r="A10" s="5" t="inlineStr">
        <is>
          <t>Asset sales revenue</t>
        </is>
      </c>
      <c r="B10" s="40" t="n">
        <v>303.141</v>
      </c>
      <c r="C10" s="40" t="n">
        <v>192.176</v>
      </c>
      <c r="D10" s="40" t="n">
        <v>106.945</v>
      </c>
      <c r="E10" s="40" t="n">
        <v>38.607</v>
      </c>
      <c r="F10" s="40" t="n">
        <v>72.43300000000001</v>
      </c>
      <c r="G10" s="40" t="n">
        <v>34.953</v>
      </c>
      <c r="H10" s="40" t="n">
        <v>46.183</v>
      </c>
      <c r="I10" s="40" t="n">
        <v>18.939</v>
      </c>
      <c r="J10" s="40" t="n">
        <v>47.915</v>
      </c>
      <c r="K10" s="40" t="n">
        <v>38.461</v>
      </c>
      <c r="L10" s="40" t="n">
        <v>1.63</v>
      </c>
      <c r="M10" s="40" t="n">
        <v>10.184</v>
      </c>
      <c r="N10" s="40" t="n">
        <v>16.925</v>
      </c>
      <c r="O10" s="39" t="inlineStr">
        <is>
          <t>SEC EDGAR 10-Q/10-K segment note, latest filing containing each period (Q2-26 10-Q acc 0001628280-26-051412; FY25 10-K; Q4 = FY less 9M, derived). Via phase2/data/is_quarterly.csv</t>
        </is>
      </c>
    </row>
    <row r="11" ht="23" customHeight="1">
      <c r="A11" s="5" t="inlineStr">
        <is>
          <t>Other revenue</t>
        </is>
      </c>
      <c r="B11" s="40" t="n">
        <v>13.502</v>
      </c>
      <c r="C11" s="40" t="n">
        <v>6.757</v>
      </c>
      <c r="D11" s="40" t="n">
        <v>10.511</v>
      </c>
      <c r="F11" s="40" t="n">
        <v>4.02</v>
      </c>
      <c r="G11" s="40" t="n">
        <v>2.005</v>
      </c>
      <c r="H11" s="40" t="n">
        <v>0.653</v>
      </c>
      <c r="I11" s="40" t="n">
        <v>0.031</v>
      </c>
      <c r="J11" s="40" t="n">
        <v>2.508</v>
      </c>
      <c r="K11" s="40" t="n">
        <v>3.292</v>
      </c>
      <c r="L11" s="40" t="n">
        <v>4.68</v>
      </c>
      <c r="M11" s="40" t="n">
        <v>6.207</v>
      </c>
      <c r="N11" s="40" t="n">
        <v>7.574</v>
      </c>
      <c r="O11" s="39" t="inlineStr">
        <is>
          <t>SEC EDGAR 10-Q/10-K segment note, latest filing containing each period (Q2-26 10-Q acc 0001628280-26-051412; FY25 10-K; Q4 = FY less 9M, derived). Via phase2/data/is_quarterly.csv</t>
        </is>
      </c>
    </row>
    <row r="12" ht="23" customHeight="1">
      <c r="A12" s="3" t="inlineStr">
        <is>
          <t>Total revenues (reported)</t>
        </is>
      </c>
      <c r="B12" s="67" t="n">
        <v>1170.896</v>
      </c>
      <c r="C12" s="67" t="n">
        <v>1734.901</v>
      </c>
      <c r="D12" s="67" t="n">
        <v>2507.409</v>
      </c>
      <c r="E12" s="67" t="n">
        <v>326.694</v>
      </c>
      <c r="F12" s="67" t="n">
        <v>443.594</v>
      </c>
      <c r="G12" s="67" t="n">
        <v>465.794</v>
      </c>
      <c r="H12" s="67" t="n">
        <v>498.819</v>
      </c>
      <c r="I12" s="67" t="n">
        <v>502.08</v>
      </c>
      <c r="J12" s="67" t="n">
        <v>676.237</v>
      </c>
      <c r="K12" s="67" t="n">
        <v>667.064</v>
      </c>
      <c r="L12" s="67" t="n">
        <v>662.028</v>
      </c>
      <c r="M12" s="67" t="n">
        <v>830.697</v>
      </c>
      <c r="N12" s="67" t="n">
        <v>953.085</v>
      </c>
      <c r="O12" s="39" t="inlineStr">
        <is>
          <t>SEC EDGAR 10-Q/10-K segment note, latest filing containing each period (Q2-26 10-Q acc 0001628280-26-051412; FY25 10-K; Q4 = FY less 9M, derived). Via phase2/data/is_quarterly.csv</t>
        </is>
      </c>
    </row>
    <row r="13">
      <c r="A13" s="5" t="inlineStr">
        <is>
          <t xml:space="preserve">  check: components less total (should be ~0)</t>
        </is>
      </c>
      <c r="B13" s="60">
        <f>SUM(B6:B11)-B12</f>
        <v/>
      </c>
      <c r="C13" s="60">
        <f>SUM(C6:C11)-C12</f>
        <v/>
      </c>
      <c r="D13" s="60">
        <f>SUM(D6:D11)-D12</f>
        <v/>
      </c>
      <c r="E13" s="60">
        <f>SUM(E6:E11)-E12</f>
        <v/>
      </c>
      <c r="F13" s="60">
        <f>SUM(F6:F11)-F12</f>
        <v/>
      </c>
      <c r="G13" s="60">
        <f>SUM(G6:G11)-G12</f>
        <v/>
      </c>
      <c r="H13" s="60">
        <f>SUM(H6:H11)-H12</f>
        <v/>
      </c>
      <c r="I13" s="60">
        <f>SUM(I6:I11)-I12</f>
        <v/>
      </c>
      <c r="J13" s="60">
        <f>SUM(J6:J11)-J12</f>
        <v/>
      </c>
      <c r="K13" s="60">
        <f>SUM(K6:K11)-K12</f>
        <v/>
      </c>
      <c r="L13" s="60">
        <f>SUM(L6:L11)-L12</f>
        <v/>
      </c>
      <c r="M13" s="60">
        <f>SUM(M6:M11)-M12</f>
        <v/>
      </c>
      <c r="N13" s="60">
        <f>SUM(N6:N11)-N12</f>
        <v/>
      </c>
      <c r="O13" s="39" t="inlineStr">
        <is>
          <t>Formula check (small FY24 differences are source recasts)</t>
        </is>
      </c>
    </row>
    <row r="14" ht="23" customHeight="1">
      <c r="A14" s="5" t="inlineStr">
        <is>
          <t>Aerospace segment revenue (products + MRE)</t>
        </is>
      </c>
      <c r="B14" s="40" t="n">
        <v>454.97</v>
      </c>
      <c r="C14" s="40" t="n">
        <v>1079.821</v>
      </c>
      <c r="D14" s="40" t="n">
        <v>1936.244</v>
      </c>
      <c r="E14" s="40" t="n">
        <v>189.057</v>
      </c>
      <c r="F14" s="40" t="n">
        <v>245.2</v>
      </c>
      <c r="G14" s="40" t="n">
        <v>303.469</v>
      </c>
      <c r="H14" s="40" t="n">
        <v>342.095</v>
      </c>
      <c r="I14" s="40" t="n">
        <v>365.063</v>
      </c>
      <c r="J14" s="40" t="n">
        <v>490.271</v>
      </c>
      <c r="K14" s="40" t="n">
        <v>517.869</v>
      </c>
      <c r="L14" s="40" t="n">
        <v>563.0410000000001</v>
      </c>
      <c r="M14" s="40" t="n">
        <v>743.8150000000001</v>
      </c>
      <c r="N14" s="40" t="n">
        <v>875.028</v>
      </c>
      <c r="O14" s="39" t="inlineStr">
        <is>
          <t>SEC EDGAR 10-Q/10-K segment note, latest filing containing each period (Q2-26 10-Q acc 0001628280-26-051412; FY25 10-K; Q4 = FY less 9M, derived). Via phase2/data/is_quarterly.csv</t>
        </is>
      </c>
    </row>
    <row r="15" ht="23" customHeight="1">
      <c r="A15" s="5" t="inlineStr">
        <is>
          <t>Aviation Leasing segment revenue</t>
        </is>
      </c>
      <c r="B15" s="40" t="n">
        <v>681.611</v>
      </c>
      <c r="C15" s="40" t="n">
        <v>628.437</v>
      </c>
      <c r="D15" s="40" t="n">
        <v>571.1609999999999</v>
      </c>
      <c r="E15" s="40" t="n">
        <v>135.31</v>
      </c>
      <c r="F15" s="40" t="n">
        <v>184.437</v>
      </c>
      <c r="G15" s="40" t="n">
        <v>152.266</v>
      </c>
      <c r="H15" s="40" t="n">
        <v>156.424</v>
      </c>
      <c r="I15" s="40" t="n">
        <v>137.013</v>
      </c>
      <c r="J15" s="40" t="n">
        <v>185.966</v>
      </c>
      <c r="K15" s="40" t="n">
        <v>149.195</v>
      </c>
      <c r="L15" s="40" t="n">
        <v>98.98699999999999</v>
      </c>
      <c r="M15" s="40" t="n">
        <v>86.88200000000001</v>
      </c>
      <c r="N15" s="40" t="n">
        <v>78.057</v>
      </c>
      <c r="O15" s="39" t="inlineStr">
        <is>
          <t>SEC EDGAR 10-Q/10-K segment note, latest filing containing each period (Q2-26 10-Q acc 0001628280-26-051412; FY25 10-K; Q4 = FY less 9M, derived). Via phase2/data/is_quarterly.csv</t>
        </is>
      </c>
    </row>
    <row r="16" ht="23" customHeight="1">
      <c r="A16" s="5" t="inlineStr">
        <is>
          <t>Cost of sales (total)</t>
        </is>
      </c>
      <c r="B16" s="40" t="n">
        <v>502.132</v>
      </c>
      <c r="C16" s="40" t="n">
        <v>825.884</v>
      </c>
      <c r="D16" s="40" t="n">
        <v>1349.719</v>
      </c>
      <c r="E16" s="40" t="n">
        <v>142.804</v>
      </c>
      <c r="F16" s="40" t="n">
        <v>205.857</v>
      </c>
      <c r="G16" s="40" t="n">
        <v>219.496</v>
      </c>
      <c r="H16" s="40" t="n">
        <v>257.727</v>
      </c>
      <c r="I16" s="40" t="n">
        <v>248.714</v>
      </c>
      <c r="J16" s="40" t="n">
        <v>369.258</v>
      </c>
      <c r="K16" s="40" t="n">
        <v>362.922</v>
      </c>
      <c r="L16" s="40" t="n">
        <v>368.825</v>
      </c>
      <c r="M16" s="40" t="n">
        <v>524.268</v>
      </c>
      <c r="N16" s="40" t="n">
        <v>635.782</v>
      </c>
      <c r="O16" s="39" t="inlineStr">
        <is>
          <t>SEC EDGAR 10-Q/10-K segment note, latest filing containing each period (Q2-26 10-Q acc 0001628280-26-051412; FY25 10-K; Q4 = FY less 9M, derived). Via phase2/data/is_quarterly.csv</t>
        </is>
      </c>
    </row>
    <row r="17" ht="23" customHeight="1">
      <c r="A17" s="5" t="inlineStr">
        <is>
          <t>Cost of sales - Aerospace segment</t>
        </is>
      </c>
      <c r="B17" s="40" t="n">
        <v>280.28</v>
      </c>
      <c r="C17" s="40" t="n">
        <v>673.907</v>
      </c>
      <c r="D17" s="40" t="n">
        <v>1240.368</v>
      </c>
      <c r="E17" s="40" t="n">
        <v>110.915</v>
      </c>
      <c r="F17" s="40" t="n">
        <v>146.888</v>
      </c>
      <c r="G17" s="40" t="n">
        <v>198.812</v>
      </c>
      <c r="H17" s="40" t="n">
        <v>217.292</v>
      </c>
      <c r="I17" s="40" t="n">
        <v>228.755</v>
      </c>
      <c r="J17" s="40" t="n">
        <v>317.469</v>
      </c>
      <c r="K17" s="40" t="n">
        <v>328.153</v>
      </c>
      <c r="L17" s="40" t="n">
        <v>365.991</v>
      </c>
      <c r="M17" s="40" t="n">
        <v>511.012</v>
      </c>
      <c r="N17" s="40" t="n">
        <v>614.529</v>
      </c>
      <c r="O17" s="39" t="inlineStr">
        <is>
          <t>SEC EDGAR 10-Q/10-K segment note, latest filing containing each period (Q2-26 10-Q acc 0001628280-26-051412; FY25 10-K; Q4 = FY less 9M, derived). Via phase2/data/is_quarterly.csv</t>
        </is>
      </c>
    </row>
    <row r="18" ht="23" customHeight="1">
      <c r="A18" s="5" t="inlineStr">
        <is>
          <t>Operating expenses</t>
        </is>
      </c>
      <c r="B18" s="40" t="n">
        <v>110.163</v>
      </c>
      <c r="C18" s="40" t="n">
        <v>115.861</v>
      </c>
      <c r="D18" s="40" t="n">
        <v>152.541</v>
      </c>
      <c r="E18" s="40" t="n">
        <v>25.317</v>
      </c>
      <c r="F18" s="40" t="n">
        <v>29.099</v>
      </c>
      <c r="G18" s="40" t="n">
        <v>26.858</v>
      </c>
      <c r="H18" s="40" t="n">
        <v>34.587</v>
      </c>
      <c r="I18" s="40" t="n">
        <v>32.438</v>
      </c>
      <c r="J18" s="40" t="n">
        <v>34.328</v>
      </c>
      <c r="K18" s="40" t="n">
        <v>39.092</v>
      </c>
      <c r="L18" s="40" t="n">
        <v>46.683</v>
      </c>
      <c r="M18" s="40" t="n">
        <v>64.98699999999999</v>
      </c>
      <c r="N18" s="40" t="n">
        <v>67.56699999999999</v>
      </c>
      <c r="O18" s="39" t="inlineStr">
        <is>
          <t>SEC EDGAR 10-Q/10-K segment note, latest filing containing each period (Q2-26 10-Q acc 0001628280-26-051412; FY25 10-K; Q4 = FY less 9M, derived). Via phase2/data/is_quarterly.csv</t>
        </is>
      </c>
    </row>
    <row r="19" ht="23" customHeight="1">
      <c r="A19" s="5" t="inlineStr">
        <is>
          <t>General and administrative</t>
        </is>
      </c>
      <c r="B19" s="40" t="n">
        <v>13.7</v>
      </c>
      <c r="C19" s="40" t="n">
        <v>14.263</v>
      </c>
      <c r="D19" s="40" t="n">
        <v>9.478</v>
      </c>
      <c r="E19" s="40" t="n">
        <v>3.683</v>
      </c>
      <c r="F19" s="40" t="n">
        <v>2.969</v>
      </c>
      <c r="G19" s="40" t="n">
        <v>4.045</v>
      </c>
      <c r="H19" s="40" t="n">
        <v>3.566</v>
      </c>
      <c r="I19" s="40" t="n">
        <v>3.116</v>
      </c>
      <c r="J19" s="40" t="n">
        <v>2.442</v>
      </c>
      <c r="K19" s="40" t="n">
        <v>1.829</v>
      </c>
      <c r="L19" s="40" t="n">
        <v>2.091</v>
      </c>
      <c r="M19" s="40" t="n">
        <v>2.413</v>
      </c>
      <c r="N19" s="40" t="n">
        <v>2.245</v>
      </c>
      <c r="O19" s="39" t="inlineStr">
        <is>
          <t>SEC EDGAR 10-Q/10-K segment note, latest filing containing each period (Q2-26 10-Q acc 0001628280-26-051412; FY25 10-K; Q4 = FY less 9M, derived). Via phase2/data/is_quarterly.csv</t>
        </is>
      </c>
    </row>
    <row r="20" ht="23" customHeight="1">
      <c r="A20" s="5" t="inlineStr">
        <is>
          <t>Acquisition and transaction expenses</t>
        </is>
      </c>
      <c r="B20" s="40" t="n">
        <v>15.194</v>
      </c>
      <c r="C20" s="40" t="n">
        <v>32.296</v>
      </c>
      <c r="D20" s="40" t="n">
        <v>28.587</v>
      </c>
      <c r="E20" s="40" t="n">
        <v>6.179</v>
      </c>
      <c r="F20" s="40" t="n">
        <v>8.019</v>
      </c>
      <c r="G20" s="40" t="n">
        <v>9.340999999999999</v>
      </c>
      <c r="H20" s="40" t="n">
        <v>8.757</v>
      </c>
      <c r="I20" s="40" t="n">
        <v>7.292</v>
      </c>
      <c r="J20" s="40" t="n">
        <v>4.489</v>
      </c>
      <c r="K20" s="40" t="n">
        <v>7.066</v>
      </c>
      <c r="L20" s="40" t="n">
        <v>9.74</v>
      </c>
      <c r="M20" s="40" t="n">
        <v>16.361</v>
      </c>
      <c r="N20" s="40" t="n">
        <v>5.699</v>
      </c>
      <c r="O20" s="39" t="inlineStr">
        <is>
          <t>SEC EDGAR 10-Q/10-K segment note, latest filing containing each period (Q2-26 10-Q acc 0001628280-26-051412; FY25 10-K; Q4 = FY less 9M, derived). Via phase2/data/is_quarterly.csv</t>
        </is>
      </c>
    </row>
    <row r="21" ht="23" customHeight="1">
      <c r="A21" s="5" t="inlineStr">
        <is>
          <t>Depreciation and amortization</t>
        </is>
      </c>
      <c r="B21" s="40" t="n">
        <v>169.877</v>
      </c>
      <c r="C21" s="40" t="n">
        <v>218.064</v>
      </c>
      <c r="D21" s="40" t="n">
        <v>225.797</v>
      </c>
      <c r="E21" s="40" t="n">
        <v>49.92</v>
      </c>
      <c r="F21" s="40" t="n">
        <v>56.691</v>
      </c>
      <c r="G21" s="40" t="n">
        <v>56.775</v>
      </c>
      <c r="H21" s="40" t="n">
        <v>54.678</v>
      </c>
      <c r="I21" s="40" t="n">
        <v>59.562</v>
      </c>
      <c r="J21" s="40" t="n">
        <v>55.236</v>
      </c>
      <c r="K21" s="40" t="n">
        <v>55.278</v>
      </c>
      <c r="L21" s="40" t="n">
        <v>55.721</v>
      </c>
      <c r="M21" s="40" t="n">
        <v>52.289</v>
      </c>
      <c r="N21" s="40" t="n">
        <v>46.986</v>
      </c>
      <c r="O21" s="39" t="inlineStr">
        <is>
          <t>SEC EDGAR 10-Q/10-K segment note, latest filing containing each period (Q2-26 10-Q acc 0001628280-26-051412; FY25 10-K; Q4 = FY less 9M, derived). Via phase2/data/is_quarterly.csv</t>
        </is>
      </c>
    </row>
    <row r="22" ht="33.5" customHeight="1">
      <c r="A22" s="5" t="inlineStr">
        <is>
          <t>Interest expense (positive = expense)</t>
        </is>
      </c>
      <c r="B22" s="40" t="n">
        <v>161.639</v>
      </c>
      <c r="C22" s="40" t="n">
        <v>221.721</v>
      </c>
      <c r="D22" s="40" t="n">
        <v>247.751</v>
      </c>
      <c r="E22" s="40" t="n">
        <v>47.707</v>
      </c>
      <c r="F22" s="40" t="n">
        <v>55.196</v>
      </c>
      <c r="G22" s="40" t="n">
        <v>57.937</v>
      </c>
      <c r="H22" s="40" t="n">
        <v>60.881</v>
      </c>
      <c r="I22" s="40" t="n">
        <v>62.04</v>
      </c>
      <c r="J22" s="40" t="n">
        <v>63.965</v>
      </c>
      <c r="K22" s="40" t="n">
        <v>60.784</v>
      </c>
      <c r="L22" s="40" t="n">
        <v>60.962</v>
      </c>
      <c r="M22" s="40" t="n">
        <v>61.407</v>
      </c>
      <c r="N22" s="40" t="n">
        <v>64.102</v>
      </c>
      <c r="O22" s="39" t="inlineStr">
        <is>
          <t>SEC EDGAR 10-Q/10-K segment note, latest filing containing each period (Q2-26 10-Q acc 0001628280-26-051412; FY25 10-K; Q4 = FY less 9M, derived). Via phase2/data/is_quarterly.csv. Sign normalised to positive in source CSV</t>
        </is>
      </c>
    </row>
    <row r="23" ht="33.5" customHeight="1">
      <c r="A23" s="5" t="inlineStr">
        <is>
          <t>Gain on sale to the 2025 Partnership</t>
        </is>
      </c>
      <c r="D23" s="40" t="n">
        <v>46.38</v>
      </c>
      <c r="I23" s="40" t="n">
        <v>10.87</v>
      </c>
      <c r="J23" s="40" t="n">
        <v>34.604</v>
      </c>
      <c r="K23" s="40" t="n">
        <v>4.609</v>
      </c>
      <c r="L23" s="40" t="n">
        <v>-3.703</v>
      </c>
      <c r="M23" s="40" t="n">
        <v>15.168</v>
      </c>
      <c r="N23" s="40" t="n">
        <v>2.465</v>
      </c>
      <c r="O23" s="39" t="inlineStr">
        <is>
          <t>SEC EDGAR 10-Q/10-K segment note, latest filing containing each period (Q2-26 10-Q acc 0001628280-26-051412; FY25 10-K; Q4 = FY less 9M, derived). Via phase2/data/is_quarterly.csv. Booked in Aviation Leasing</t>
        </is>
      </c>
    </row>
    <row r="24" ht="33.5" customHeight="1">
      <c r="A24" s="5" t="inlineStr">
        <is>
          <t>Equity in earnings (losses) of unconsolidated entities</t>
        </is>
      </c>
      <c r="B24" s="40" t="n">
        <v>-3.275</v>
      </c>
      <c r="C24" s="40" t="n">
        <v>-2.2</v>
      </c>
      <c r="D24" s="40" t="n">
        <v>-23.659</v>
      </c>
      <c r="E24" s="40" t="n">
        <v>-0.667</v>
      </c>
      <c r="F24" s="40" t="n">
        <v>-0.694</v>
      </c>
      <c r="G24" s="40" t="n">
        <v>-0.438</v>
      </c>
      <c r="H24" s="40" t="n">
        <v>-0.401</v>
      </c>
      <c r="I24" s="40" t="n">
        <v>-7.614</v>
      </c>
      <c r="J24" s="40" t="n">
        <v>-5.003</v>
      </c>
      <c r="K24" s="40" t="n">
        <v>-4.224</v>
      </c>
      <c r="L24" s="40" t="n">
        <v>-6.818</v>
      </c>
      <c r="M24" s="40" t="n">
        <v>-2.363</v>
      </c>
      <c r="N24" s="40" t="n">
        <v>9.970000000000001</v>
      </c>
      <c r="O24" s="39" t="inlineStr">
        <is>
          <t>SEC EDGAR 10-Q/10-K segment note, latest filing containing each period (Q2-26 10-Q acc 0001628280-26-051412; FY25 10-K; Q4 = FY less 9M, derived). Via phase2/data/is_quarterly.csv. FY = sum of quarters (the CSV FY25 value of -6.8 is the Q4 figure only). FY23 not complete</t>
        </is>
      </c>
    </row>
    <row r="25" ht="33.5" customHeight="1">
      <c r="A25" s="5" t="inlineStr">
        <is>
          <t>Income (loss) before income taxes</t>
        </is>
      </c>
      <c r="D25" s="40" t="n">
        <v>606.684</v>
      </c>
      <c r="E25" s="40" t="n">
        <v>45.194</v>
      </c>
      <c r="F25" s="40" t="n">
        <v>-232.903</v>
      </c>
      <c r="G25" s="40" t="n">
        <v>93.813</v>
      </c>
      <c r="I25" s="40" t="n">
        <v>125.245</v>
      </c>
      <c r="J25" s="40" t="n">
        <v>203.276</v>
      </c>
      <c r="K25" s="40" t="n">
        <v>144.048</v>
      </c>
      <c r="L25" s="40" t="n">
        <v>134.115</v>
      </c>
      <c r="M25" s="40" t="n">
        <v>169.359</v>
      </c>
      <c r="N25" s="40" t="n">
        <v>150.713</v>
      </c>
      <c r="O25" s="39" t="inlineStr">
        <is>
          <t>SEC EDGAR 10-Q/10-K segment note, latest filing containing each period (Q2-26 10-Q acc 0001628280-26-051412; FY25 10-K; Q4 = FY less 9M, derived). Via phase2/data/is_quarterly.csv. FY23/FY24 and Q4-24 not cleanly parsed in source (continuing/discontinued label variants), left blank</t>
        </is>
      </c>
    </row>
    <row r="26" ht="23" customHeight="1">
      <c r="A26" s="5" t="inlineStr">
        <is>
          <t>Provision for income taxes</t>
        </is>
      </c>
      <c r="D26" s="40" t="n">
        <v>105.62</v>
      </c>
      <c r="F26" s="40" t="n">
        <v>-13.033</v>
      </c>
      <c r="G26" s="40" t="n">
        <v>7.331</v>
      </c>
      <c r="I26" s="40" t="n">
        <v>22.859</v>
      </c>
      <c r="J26" s="40" t="n">
        <v>37.878</v>
      </c>
      <c r="K26" s="40" t="n">
        <v>26.33</v>
      </c>
      <c r="L26" s="40" t="n">
        <v>18.553</v>
      </c>
      <c r="M26" s="40" t="n">
        <v>31.46</v>
      </c>
      <c r="N26" s="40" t="n">
        <v>25.619</v>
      </c>
      <c r="O26" s="39" t="inlineStr">
        <is>
          <t>SEC EDGAR 10-Q/10-K segment note, latest filing containing each period (Q2-26 10-Q acc 0001628280-26-051412; FY25 10-K; Q4 = FY less 9M, derived). Via phase2/data/is_quarterly.csv. As above</t>
        </is>
      </c>
    </row>
    <row r="27" ht="23" customHeight="1">
      <c r="A27" s="5" t="inlineStr">
        <is>
          <t>Net income (loss)</t>
        </is>
      </c>
      <c r="D27" s="40" t="n">
        <v>501.064</v>
      </c>
      <c r="E27" s="40" t="n">
        <v>39.622</v>
      </c>
      <c r="F27" s="40" t="n">
        <v>-219.87</v>
      </c>
      <c r="G27" s="40" t="n">
        <v>86.482</v>
      </c>
      <c r="I27" s="40" t="n">
        <v>102.386</v>
      </c>
      <c r="J27" s="40" t="n">
        <v>165.398</v>
      </c>
      <c r="K27" s="40" t="n">
        <v>117.718</v>
      </c>
      <c r="L27" s="40" t="n">
        <v>115.562</v>
      </c>
      <c r="M27" s="40" t="n">
        <v>137.899</v>
      </c>
      <c r="N27" s="40" t="n">
        <v>125.094</v>
      </c>
      <c r="O27" s="39" t="inlineStr">
        <is>
          <t>SEC EDGAR 10-Q/10-K segment note, latest filing containing each period (Q2-26 10-Q acc 0001628280-26-051412; FY25 10-K; Q4 = FY less 9M, derived). Via phase2/data/is_quarterly.csv. As above</t>
        </is>
      </c>
    </row>
    <row r="28" ht="23" customHeight="1">
      <c r="A28" s="3" t="inlineStr">
        <is>
          <t>Net income attributable to shareholders</t>
        </is>
      </c>
      <c r="B28" s="67" t="n">
        <v>212.022</v>
      </c>
      <c r="C28" s="67" t="n">
        <v>-32.079</v>
      </c>
      <c r="D28" s="67" t="n">
        <v>477.494</v>
      </c>
      <c r="E28" s="67" t="n">
        <v>31.287</v>
      </c>
      <c r="F28" s="67" t="n">
        <v>-228.205</v>
      </c>
      <c r="G28" s="67" t="n">
        <v>78.14700000000001</v>
      </c>
      <c r="H28" s="67" t="n">
        <v>86.69199999999999</v>
      </c>
      <c r="I28" s="67" t="n">
        <v>89.944</v>
      </c>
      <c r="J28" s="67" t="n">
        <v>161.689</v>
      </c>
      <c r="K28" s="67" t="n">
        <v>114.009</v>
      </c>
      <c r="L28" s="67" t="n">
        <v>111.852</v>
      </c>
      <c r="M28" s="67" t="n">
        <v>134.19</v>
      </c>
      <c r="N28" s="67" t="n">
        <v>117.585</v>
      </c>
      <c r="O28" s="39" t="inlineStr">
        <is>
          <t>SEC EDGAR 10-Q/10-K segment note, latest filing containing each period (Q2-26 10-Q acc 0001628280-26-051412; FY25 10-K; Q4 = FY less 9M, derived). Via phase2/data/is_quarterly.csv</t>
        </is>
      </c>
    </row>
    <row r="29">
      <c r="A29" s="5" t="inlineStr">
        <is>
          <t>Preferred dividends + non-controlling interest (NI less attributable)</t>
        </is>
      </c>
      <c r="B29" s="60">
        <f>IF(OR(B27="",B28=""),"",B27-B28)</f>
        <v/>
      </c>
      <c r="C29" s="60">
        <f>IF(OR(C27="",C28=""),"",C27-C28)</f>
        <v/>
      </c>
      <c r="D29" s="60">
        <f>IF(OR(D27="",D28=""),"",D27-D28)</f>
        <v/>
      </c>
      <c r="E29" s="60">
        <f>IF(OR(E27="",E28=""),"",E27-E28)</f>
        <v/>
      </c>
      <c r="F29" s="60">
        <f>IF(OR(F27="",F28=""),"",F27-F28)</f>
        <v/>
      </c>
      <c r="G29" s="60">
        <f>IF(OR(G27="",G28=""),"",G27-G28)</f>
        <v/>
      </c>
      <c r="H29" s="60">
        <f>IF(OR(H27="",H28=""),"",H27-H28)</f>
        <v/>
      </c>
      <c r="I29" s="60">
        <f>IF(OR(I27="",I28=""),"",I27-I28)</f>
        <v/>
      </c>
      <c r="J29" s="60">
        <f>IF(OR(J27="",J28=""),"",J27-J28)</f>
        <v/>
      </c>
      <c r="K29" s="60">
        <f>IF(OR(K27="",K28=""),"",K27-K28)</f>
        <v/>
      </c>
      <c r="L29" s="60">
        <f>IF(OR(L27="",L28=""),"",L27-L28)</f>
        <v/>
      </c>
      <c r="M29" s="60">
        <f>IF(OR(M27="",M28=""),"",M27-M28)</f>
        <v/>
      </c>
      <c r="N29" s="60">
        <f>IF(OR(N27="",N28=""),"",N27-N28)</f>
        <v/>
      </c>
      <c r="O29" s="39" t="inlineStr">
        <is>
          <t>Formula</t>
        </is>
      </c>
    </row>
    <row r="30" ht="23" customHeight="1">
      <c r="A30" s="5" t="inlineStr">
        <is>
          <t>Diluted EPS ($)</t>
        </is>
      </c>
      <c r="B30" s="41" t="n">
        <v>2.11</v>
      </c>
      <c r="C30" s="41" t="n">
        <v>-0.32</v>
      </c>
      <c r="D30" s="41" t="n">
        <v>4.6</v>
      </c>
      <c r="E30" s="41" t="n">
        <v>0.31</v>
      </c>
      <c r="F30" s="41" t="n">
        <v>-2.26</v>
      </c>
      <c r="G30" s="41" t="n">
        <v>0.76</v>
      </c>
      <c r="H30" s="41" t="n">
        <v>0.84</v>
      </c>
      <c r="I30" s="41" t="n">
        <v>0.87</v>
      </c>
      <c r="J30" s="41" t="n">
        <v>1.57</v>
      </c>
      <c r="K30" s="41" t="n">
        <v>1.1</v>
      </c>
      <c r="L30" s="41" t="n">
        <v>1.08</v>
      </c>
      <c r="M30" s="41" t="n">
        <v>1.29</v>
      </c>
      <c r="N30" s="41" t="n">
        <v>1.13</v>
      </c>
      <c r="O30" s="39" t="inlineStr">
        <is>
          <t>SEC EDGAR 10-Q/10-K segment note, latest filing containing each period (Q2-26 10-Q acc 0001628280-26-051412; FY25 10-K; Q4 = FY less 9M, derived). Via phase2/data/is_quarterly.csv</t>
        </is>
      </c>
    </row>
    <row r="31" ht="23" customHeight="1">
      <c r="A31" s="5" t="inlineStr">
        <is>
          <t>Diluted weighted shares (M)</t>
        </is>
      </c>
      <c r="B31" s="47" t="n">
        <v>100.425777</v>
      </c>
      <c r="C31" s="47" t="n">
        <v>101.538835</v>
      </c>
      <c r="D31" s="47" t="n">
        <v>103.846914</v>
      </c>
      <c r="E31" s="47" t="n">
        <v>100.960065</v>
      </c>
      <c r="F31" s="47" t="n">
        <v>100.958524</v>
      </c>
      <c r="G31" s="47" t="n">
        <v>103.395348</v>
      </c>
      <c r="H31" s="47" t="n">
        <v>103.60335</v>
      </c>
      <c r="I31" s="47" t="n">
        <v>103.159051</v>
      </c>
      <c r="J31" s="47" t="n">
        <v>103.14786</v>
      </c>
      <c r="K31" s="47" t="n">
        <v>103.96665</v>
      </c>
      <c r="L31" s="47" t="n">
        <v>103.86494</v>
      </c>
      <c r="M31" s="47" t="n">
        <v>104.255902</v>
      </c>
      <c r="N31" s="47" t="n">
        <v>104.044113</v>
      </c>
      <c r="O31" s="39" t="inlineStr">
        <is>
          <t>SEC EDGAR 10-Q/10-K segment note, latest filing containing each period (Q2-26 10-Q acc 0001628280-26-051412; FY25 10-K; Q4 = FY less 9M, derived). Via phase2/data/is_quarterly.csv</t>
        </is>
      </c>
    </row>
    <row r="32">
      <c r="A32" s="10" t="inlineStr">
        <is>
          <t>Segment Adjusted EBITDA (USD m)</t>
        </is>
      </c>
      <c r="B32" s="11" t="n"/>
      <c r="C32" s="11" t="n"/>
      <c r="D32" s="11" t="n"/>
      <c r="E32" s="11" t="n"/>
      <c r="F32" s="11" t="n"/>
      <c r="G32" s="11" t="n"/>
      <c r="H32" s="11" t="n"/>
      <c r="I32" s="11" t="n"/>
      <c r="J32" s="11" t="n"/>
      <c r="K32" s="11" t="n"/>
      <c r="L32" s="11" t="n"/>
      <c r="M32" s="11" t="n"/>
      <c r="N32" s="11" t="n"/>
      <c r="O32" s="11" t="n"/>
    </row>
    <row r="33" ht="23" customHeight="1">
      <c r="A33" s="5" t="inlineStr">
        <is>
          <t>Aerospace Products</t>
        </is>
      </c>
      <c r="B33" s="40" t="n">
        <v>160.009</v>
      </c>
      <c r="C33" s="40" t="n">
        <v>380.636</v>
      </c>
      <c r="D33" s="40" t="n">
        <v>671.252</v>
      </c>
      <c r="E33" s="40" t="n">
        <v>70.277</v>
      </c>
      <c r="F33" s="40" t="n">
        <v>91.23999999999999</v>
      </c>
      <c r="G33" s="40" t="n">
        <v>101.814</v>
      </c>
      <c r="H33" s="40" t="n">
        <v>117.305</v>
      </c>
      <c r="I33" s="40" t="n">
        <v>130.945</v>
      </c>
      <c r="J33" s="40" t="n">
        <v>164.864</v>
      </c>
      <c r="K33" s="40" t="n">
        <v>180.421</v>
      </c>
      <c r="L33" s="40" t="n">
        <v>195.022</v>
      </c>
      <c r="M33" s="40" t="n">
        <v>222.576</v>
      </c>
      <c r="N33" s="40" t="n">
        <v>249.716</v>
      </c>
      <c r="O33" s="39" t="inlineStr">
        <is>
          <t>Q2-26 8-K Ex99.1 2026-07-29 acc 0001628280-26-050622 and 10-Q MD&amp;A/segment notes (phase2/data/segment_ebitda.csv). Eliminations = Total less 3 segments</t>
        </is>
      </c>
    </row>
    <row r="34" ht="23" customHeight="1">
      <c r="A34" s="5" t="inlineStr">
        <is>
          <t>Aviation Leasing</t>
        </is>
      </c>
      <c r="B34" s="40" t="n">
        <v>467.388</v>
      </c>
      <c r="C34" s="40" t="n">
        <v>500.062</v>
      </c>
      <c r="D34" s="40" t="n">
        <v>608.912</v>
      </c>
      <c r="E34" s="40" t="n">
        <v>104.807</v>
      </c>
      <c r="F34" s="40" t="n">
        <v>124.981</v>
      </c>
      <c r="G34" s="40" t="n">
        <v>136.423</v>
      </c>
      <c r="H34" s="40" t="n">
        <v>133.851</v>
      </c>
      <c r="I34" s="40" t="n">
        <v>161.989</v>
      </c>
      <c r="J34" s="40" t="n">
        <v>199.303</v>
      </c>
      <c r="K34" s="40" t="n">
        <v>134.408</v>
      </c>
      <c r="L34" s="40" t="n">
        <v>113.212</v>
      </c>
      <c r="M34" s="40" t="n">
        <v>152.959</v>
      </c>
      <c r="N34" s="40" t="n">
        <v>88.20999999999999</v>
      </c>
      <c r="O34" s="39" t="inlineStr">
        <is>
          <t>Q2-26 8-K Ex99.1 2026-07-29 acc 0001628280-26-050622 and 10-Q MD&amp;A/segment notes (phase2/data/segment_ebitda.csv). Eliminations = Total less 3 segments</t>
        </is>
      </c>
    </row>
    <row r="35" ht="23" customHeight="1">
      <c r="A35" s="5" t="inlineStr">
        <is>
          <t>Corporate and Other</t>
        </is>
      </c>
      <c r="B35" s="40" t="n">
        <v>-30.115</v>
      </c>
      <c r="C35" s="40" t="n">
        <v>-18.648</v>
      </c>
      <c r="D35" s="40" t="n">
        <v>-66.413</v>
      </c>
      <c r="E35" s="40" t="n">
        <v>-10.983</v>
      </c>
      <c r="F35" s="40" t="n">
        <v>-2.317</v>
      </c>
      <c r="G35" s="40" t="n">
        <v>-6.207</v>
      </c>
      <c r="H35" s="40" t="n">
        <v>0.859</v>
      </c>
      <c r="I35" s="40" t="n">
        <v>-17.426</v>
      </c>
      <c r="J35" s="40" t="n">
        <v>-11.427</v>
      </c>
      <c r="K35" s="40" t="n">
        <v>-13.54</v>
      </c>
      <c r="L35" s="40" t="n">
        <v>-24.02</v>
      </c>
      <c r="M35" s="40" t="n">
        <v>-39.958</v>
      </c>
      <c r="N35" s="40" t="n">
        <v>-39.885</v>
      </c>
      <c r="O35" s="39" t="inlineStr">
        <is>
          <t>Q2-26 8-K Ex99.1 2026-07-29 acc 0001628280-26-050622 and 10-Q MD&amp;A/segment notes (phase2/data/segment_ebitda.csv). Eliminations = Total less 3 segments</t>
        </is>
      </c>
    </row>
    <row r="36" ht="23" customHeight="1">
      <c r="A36" s="5" t="inlineStr">
        <is>
          <t>Eliminations (profit elimination on sales to 2025 Partnership)</t>
        </is>
      </c>
      <c r="B36" s="40" t="n">
        <v>0</v>
      </c>
      <c r="C36" s="40" t="n">
        <v>0</v>
      </c>
      <c r="D36" s="40" t="n">
        <v>-22.829</v>
      </c>
      <c r="E36" s="40" t="n">
        <v>0</v>
      </c>
      <c r="F36" s="40" t="n">
        <v>0</v>
      </c>
      <c r="G36" s="40" t="n">
        <v>0</v>
      </c>
      <c r="H36" s="40" t="n">
        <v>0</v>
      </c>
      <c r="I36" s="40" t="n">
        <v>-6.95</v>
      </c>
      <c r="J36" s="40" t="n">
        <v>-4.935</v>
      </c>
      <c r="K36" s="40" t="n">
        <v>-3.908</v>
      </c>
      <c r="L36" s="40" t="n">
        <v>-7.036</v>
      </c>
      <c r="M36" s="40" t="n">
        <v>-10</v>
      </c>
      <c r="N36" s="40" t="n">
        <v>-6.597</v>
      </c>
      <c r="O36" s="39" t="inlineStr">
        <is>
          <t>Q2-26 8-K Ex99.1 2026-07-29 acc 0001628280-26-050622 and 10-Q MD&amp;A/segment notes (phase2/data/segment_ebitda.csv). Eliminations = Total less 3 segments</t>
        </is>
      </c>
    </row>
    <row r="37" ht="23" customHeight="1">
      <c r="A37" s="3" t="inlineStr">
        <is>
          <t>Total Adjusted EBITDA (company basis)</t>
        </is>
      </c>
      <c r="B37" s="67" t="n">
        <v>597.282</v>
      </c>
      <c r="C37" s="67" t="n">
        <v>862.05</v>
      </c>
      <c r="D37" s="67" t="n">
        <v>1190.922</v>
      </c>
      <c r="E37" s="67" t="n">
        <v>164.101</v>
      </c>
      <c r="F37" s="67" t="n">
        <v>213.904</v>
      </c>
      <c r="G37" s="67" t="n">
        <v>232.03</v>
      </c>
      <c r="H37" s="67" t="n">
        <v>252.015</v>
      </c>
      <c r="I37" s="67" t="n">
        <v>268.558</v>
      </c>
      <c r="J37" s="67" t="n">
        <v>347.805</v>
      </c>
      <c r="K37" s="67" t="n">
        <v>297.381</v>
      </c>
      <c r="L37" s="67" t="n">
        <v>277.178</v>
      </c>
      <c r="M37" s="67" t="n">
        <v>325.577</v>
      </c>
      <c r="N37" s="67" t="n">
        <v>291.444</v>
      </c>
      <c r="O37" s="39" t="inlineStr">
        <is>
          <t>Q2-26 8-K Ex99.1 2026-07-29 acc 0001628280-26-050622 and 10-Q MD&amp;A/segment notes (phase2/data/segment_ebitda.csv). Eliminations = Total less 3 segments</t>
        </is>
      </c>
    </row>
    <row r="38">
      <c r="A38" s="5" t="inlineStr">
        <is>
          <t xml:space="preserve">  check: segments less total (should be 0)</t>
        </is>
      </c>
      <c r="B38" s="60">
        <f>B33+B34+B35+B36-B37</f>
        <v/>
      </c>
      <c r="C38" s="60">
        <f>C33+C34+C35+C36-C37</f>
        <v/>
      </c>
      <c r="D38" s="60">
        <f>D33+D34+D35+D36-D37</f>
        <v/>
      </c>
      <c r="E38" s="60">
        <f>E33+E34+E35+E36-E37</f>
        <v/>
      </c>
      <c r="F38" s="60">
        <f>F33+F34+F35+F36-F37</f>
        <v/>
      </c>
      <c r="G38" s="60">
        <f>G33+G34+G35+G36-G37</f>
        <v/>
      </c>
      <c r="H38" s="60">
        <f>H33+H34+H35+H36-H37</f>
        <v/>
      </c>
      <c r="I38" s="60">
        <f>I33+I34+I35+I36-I37</f>
        <v/>
      </c>
      <c r="J38" s="60">
        <f>J33+J34+J35+J36-J37</f>
        <v/>
      </c>
      <c r="K38" s="60">
        <f>K33+K34+K35+K36-K37</f>
        <v/>
      </c>
      <c r="L38" s="60">
        <f>L33+L34+L35+L36-L37</f>
        <v/>
      </c>
      <c r="M38" s="60">
        <f>M33+M34+M35+M36-M37</f>
        <v/>
      </c>
      <c r="N38" s="60">
        <f>N33+N34+N35+N36-N37</f>
        <v/>
      </c>
      <c r="O38" s="39" t="inlineStr">
        <is>
          <t>Formula check</t>
        </is>
      </c>
    </row>
    <row r="39">
      <c r="A39" s="5" t="inlineStr">
        <is>
          <t>Segment-basis EBITDA (Aerospace + Leasing; excl. Corporate and Elims)</t>
        </is>
      </c>
      <c r="B39" s="60">
        <f>B33+B34</f>
        <v/>
      </c>
      <c r="C39" s="60">
        <f>C33+C34</f>
        <v/>
      </c>
      <c r="D39" s="60">
        <f>D33+D34</f>
        <v/>
      </c>
      <c r="E39" s="60">
        <f>E33+E34</f>
        <v/>
      </c>
      <c r="F39" s="60">
        <f>F33+F34</f>
        <v/>
      </c>
      <c r="G39" s="60">
        <f>G33+G34</f>
        <v/>
      </c>
      <c r="H39" s="60">
        <f>H33+H34</f>
        <v/>
      </c>
      <c r="I39" s="60">
        <f>I33+I34</f>
        <v/>
      </c>
      <c r="J39" s="60">
        <f>J33+J34</f>
        <v/>
      </c>
      <c r="K39" s="60">
        <f>K33+K34</f>
        <v/>
      </c>
      <c r="L39" s="60">
        <f>L33+L34</f>
        <v/>
      </c>
      <c r="M39" s="60">
        <f>M33+M34</f>
        <v/>
      </c>
      <c r="N39" s="60">
        <f>N33+N34</f>
        <v/>
      </c>
      <c r="O39" s="39" t="inlineStr">
        <is>
          <t>Formula. Basis used by management guidance (2026: 1,525 = 1,050 + 475)</t>
        </is>
      </c>
    </row>
    <row r="40" ht="23" customHeight="1">
      <c r="A40" s="5" t="inlineStr">
        <is>
          <t>Aerospace modules produced (units)</t>
        </is>
      </c>
      <c r="I40" s="53" t="n">
        <v>138</v>
      </c>
      <c r="J40" s="53" t="n">
        <v>184</v>
      </c>
      <c r="L40" s="53" t="n">
        <v>228</v>
      </c>
      <c r="N40" s="53" t="n">
        <v>296</v>
      </c>
      <c r="O40" s="39" t="inlineStr">
        <is>
          <t>Q2-25 release (184); Q4-25 call (228); Q2-26 call (296); Q1-25 (~138) back-solved from '+33%'. Q3-25 and Q1-26 not found. Call figures are secondary</t>
        </is>
      </c>
    </row>
    <row r="41" ht="23" customHeight="1">
      <c r="A41" s="5" t="inlineStr">
        <is>
          <t>Aerospace modules incl. Q1-26 estimate (Q1-26 = EBITDA / Q2-26 EBITDA per module)</t>
        </is>
      </c>
      <c r="M41" s="68">
        <f>ROUND(M33/(N33/N40),0)</f>
        <v/>
      </c>
      <c r="N41" s="18">
        <f>N40</f>
        <v/>
      </c>
      <c r="O41" s="39" t="inlineStr">
        <is>
          <t>ASSUMPTION (derived): Q1-26 modules not disclosed in sources; estimated at Q2-26 derived EBITDA/module of 0.84</t>
        </is>
      </c>
    </row>
    <row r="42">
      <c r="A42" s="10" t="inlineStr">
        <is>
          <t>Gains embedded in Adjusted EBITDA (cash-flow-statement add-backs, positive = gain)</t>
        </is>
      </c>
      <c r="B42" s="11" t="n"/>
      <c r="C42" s="11" t="n"/>
      <c r="D42" s="11" t="n"/>
      <c r="E42" s="11" t="n"/>
      <c r="F42" s="11" t="n"/>
      <c r="G42" s="11" t="n"/>
      <c r="H42" s="11" t="n"/>
      <c r="I42" s="11" t="n"/>
      <c r="J42" s="11" t="n"/>
      <c r="K42" s="11" t="n"/>
      <c r="L42" s="11" t="n"/>
      <c r="M42" s="11" t="n"/>
      <c r="N42" s="11" t="n"/>
      <c r="O42" s="11" t="n"/>
    </row>
    <row r="43">
      <c r="A43" s="5" t="inlineStr">
        <is>
          <t>Gain on sale of assets</t>
        </is>
      </c>
      <c r="B43" s="40" t="n">
        <v>160.742</v>
      </c>
      <c r="C43" s="40" t="n">
        <v>377.909</v>
      </c>
      <c r="D43" s="40" t="n">
        <v>377.54</v>
      </c>
      <c r="E43" s="40" t="n">
        <v>58.061</v>
      </c>
      <c r="F43" s="40" t="n">
        <v>88.023</v>
      </c>
      <c r="G43" s="40" t="n">
        <v>98.26900000000001</v>
      </c>
      <c r="H43" s="40" t="n">
        <v>133.556</v>
      </c>
      <c r="I43" s="40" t="n">
        <v>8.548999999999999</v>
      </c>
      <c r="J43" s="40" t="n">
        <v>217.567</v>
      </c>
      <c r="K43" s="40" t="n">
        <v>68.645</v>
      </c>
      <c r="L43" s="40" t="n">
        <v>82.779</v>
      </c>
      <c r="M43" s="40" t="n">
        <v>92.533</v>
      </c>
      <c r="N43" s="40" t="n">
        <v>85.404</v>
      </c>
      <c r="O43" s="39" t="inlineStr">
        <is>
          <t>Statement of cash flows; Q2-Q4 derived as YTD less prior YTD (DERIVED). phase2/data/cash_flow.csv</t>
        </is>
      </c>
    </row>
    <row r="44">
      <c r="A44" s="5" t="inlineStr">
        <is>
          <t>Gain on sale to the 2025 Partnership (seed assets)</t>
        </is>
      </c>
      <c r="D44" s="40" t="n">
        <v>46.38</v>
      </c>
      <c r="I44" s="40" t="n">
        <v>10.87</v>
      </c>
      <c r="J44" s="40" t="n">
        <v>34.604</v>
      </c>
      <c r="K44" s="40" t="n">
        <v>4.609</v>
      </c>
      <c r="L44" s="40" t="n">
        <v>-3.703</v>
      </c>
      <c r="M44" s="40" t="n">
        <v>15.168</v>
      </c>
      <c r="N44" s="40" t="n">
        <v>2.465</v>
      </c>
      <c r="O44" s="39" t="inlineStr">
        <is>
          <t>Statement of cash flows; Q2-Q4 derived as YTD less prior YTD (DERIVED). phase2/data/cash_flow.csv</t>
        </is>
      </c>
    </row>
    <row r="45">
      <c r="A45" s="5" t="inlineStr">
        <is>
          <t>Gain on insurance recoveries (Russia)</t>
        </is>
      </c>
      <c r="D45" s="40" t="n">
        <v>54.325</v>
      </c>
      <c r="I45" s="40" t="n">
        <v>30.125</v>
      </c>
      <c r="J45" s="40" t="n">
        <v>24.2</v>
      </c>
      <c r="K45" s="40" t="n">
        <v>-0</v>
      </c>
      <c r="L45" s="40" t="n">
        <v>-0</v>
      </c>
      <c r="M45" s="40" t="n">
        <v>44.595</v>
      </c>
      <c r="N45" s="40" t="n">
        <v>4.95</v>
      </c>
      <c r="O45" s="39" t="inlineStr">
        <is>
          <t>Statement of cash flows; Q2-Q4 derived as YTD less prior YTD (DERIVED). phase2/data/cash_flow.csv</t>
        </is>
      </c>
    </row>
    <row r="46">
      <c r="A46" s="5" t="inlineStr">
        <is>
          <t>Total gains (segment attribution not disclosed)</t>
        </is>
      </c>
      <c r="B46" s="60">
        <f>SUM(B43:B45)</f>
        <v/>
      </c>
      <c r="C46" s="60">
        <f>SUM(C43:C45)</f>
        <v/>
      </c>
      <c r="D46" s="60">
        <f>SUM(D43:D45)</f>
        <v/>
      </c>
      <c r="E46" s="60">
        <f>SUM(E43:E45)</f>
        <v/>
      </c>
      <c r="F46" s="60">
        <f>SUM(F43:F45)</f>
        <v/>
      </c>
      <c r="G46" s="60">
        <f>SUM(G43:G45)</f>
        <v/>
      </c>
      <c r="H46" s="60">
        <f>SUM(H43:H45)</f>
        <v/>
      </c>
      <c r="I46" s="60">
        <f>SUM(I43:I45)</f>
        <v/>
      </c>
      <c r="J46" s="60">
        <f>SUM(J43:J45)</f>
        <v/>
      </c>
      <c r="K46" s="60">
        <f>SUM(K43:K45)</f>
        <v/>
      </c>
      <c r="L46" s="60">
        <f>SUM(L43:L45)</f>
        <v/>
      </c>
      <c r="M46" s="60">
        <f>SUM(M43:M45)</f>
        <v/>
      </c>
      <c r="N46" s="60">
        <f>SUM(N43:N45)</f>
        <v/>
      </c>
      <c r="O46" s="39" t="inlineStr">
        <is>
          <t>Formula</t>
        </is>
      </c>
    </row>
    <row r="47">
      <c r="A47" s="10" t="inlineStr">
        <is>
          <t>Cash flow (USD m)</t>
        </is>
      </c>
      <c r="B47" s="11" t="n"/>
      <c r="C47" s="11" t="n"/>
      <c r="D47" s="11" t="n"/>
      <c r="E47" s="11" t="n"/>
      <c r="F47" s="11" t="n"/>
      <c r="G47" s="11" t="n"/>
      <c r="H47" s="11" t="n"/>
      <c r="I47" s="11" t="n"/>
      <c r="J47" s="11" t="n"/>
      <c r="K47" s="11" t="n"/>
      <c r="L47" s="11" t="n"/>
      <c r="M47" s="11" t="n"/>
      <c r="N47" s="11" t="n"/>
      <c r="O47" s="11" t="n"/>
    </row>
    <row r="48">
      <c r="A48" s="3" t="inlineStr">
        <is>
          <t>Cash flow from operations (CFO)</t>
        </is>
      </c>
      <c r="B48" s="67" t="n">
        <v>128.982</v>
      </c>
      <c r="C48" s="67" t="n">
        <v>-187.956</v>
      </c>
      <c r="D48" s="67" t="n">
        <v>-310.745</v>
      </c>
      <c r="E48" s="67" t="n">
        <v>-0.345</v>
      </c>
      <c r="F48" s="67" t="n">
        <v>-187.291</v>
      </c>
      <c r="G48" s="67" t="n">
        <v>41.483</v>
      </c>
      <c r="H48" s="67" t="n">
        <v>-41.803</v>
      </c>
      <c r="I48" s="67" t="n">
        <v>-25.966</v>
      </c>
      <c r="J48" s="67" t="n">
        <v>-110.318</v>
      </c>
      <c r="K48" s="67" t="n">
        <v>4.618</v>
      </c>
      <c r="L48" s="67" t="n">
        <v>-179.079</v>
      </c>
      <c r="M48" s="67" t="n">
        <v>-160.076</v>
      </c>
      <c r="N48" s="67" t="n">
        <v>-105.227</v>
      </c>
      <c r="O48" s="39" t="inlineStr">
        <is>
          <t>Statement of cash flows; Q2-Q4 derived as YTD less prior YTD (DERIVED). phase2/data/cash_flow.csv</t>
        </is>
      </c>
    </row>
    <row r="49">
      <c r="A49" s="3" t="inlineStr">
        <is>
          <t>Cash flow from investing (CFI)</t>
        </is>
      </c>
      <c r="B49" s="67" t="n">
        <v>-373.349</v>
      </c>
      <c r="C49" s="67" t="n">
        <v>-469.498</v>
      </c>
      <c r="D49" s="67" t="n">
        <v>723.314</v>
      </c>
      <c r="E49" s="67" t="n">
        <v>-169.213</v>
      </c>
      <c r="F49" s="67" t="n">
        <v>-50.17</v>
      </c>
      <c r="G49" s="67" t="n">
        <v>-223.348</v>
      </c>
      <c r="H49" s="67" t="n">
        <v>-26.767</v>
      </c>
      <c r="I49" s="67" t="n">
        <v>-27.627</v>
      </c>
      <c r="J49" s="67" t="n">
        <v>523.775</v>
      </c>
      <c r="K49" s="67" t="n">
        <v>226.52</v>
      </c>
      <c r="L49" s="67" t="n">
        <v>0.646</v>
      </c>
      <c r="M49" s="67" t="n">
        <v>317.018</v>
      </c>
      <c r="N49" s="67" t="n">
        <v>198.696</v>
      </c>
      <c r="O49" s="39" t="inlineStr">
        <is>
          <t>Statement of cash flows; Q2-Q4 derived as YTD less prior YTD (DERIVED). phase2/data/cash_flow.csv</t>
        </is>
      </c>
    </row>
    <row r="50">
      <c r="A50" s="3" t="inlineStr">
        <is>
          <t>CFO + CFI</t>
        </is>
      </c>
      <c r="B50" s="35">
        <f>B48+B49</f>
        <v/>
      </c>
      <c r="C50" s="35">
        <f>C48+C49</f>
        <v/>
      </c>
      <c r="D50" s="35">
        <f>D48+D49</f>
        <v/>
      </c>
      <c r="E50" s="35">
        <f>E48+E49</f>
        <v/>
      </c>
      <c r="F50" s="35">
        <f>F48+F49</f>
        <v/>
      </c>
      <c r="G50" s="35">
        <f>G48+G49</f>
        <v/>
      </c>
      <c r="H50" s="35">
        <f>H48+H49</f>
        <v/>
      </c>
      <c r="I50" s="35">
        <f>I48+I49</f>
        <v/>
      </c>
      <c r="J50" s="35">
        <f>J48+J49</f>
        <v/>
      </c>
      <c r="K50" s="35">
        <f>K48+K49</f>
        <v/>
      </c>
      <c r="L50" s="35">
        <f>L48+L49</f>
        <v/>
      </c>
      <c r="M50" s="35">
        <f>M48+M49</f>
        <v/>
      </c>
      <c r="N50" s="35">
        <f>N48+N49</f>
        <v/>
      </c>
      <c r="O50" s="39" t="inlineStr">
        <is>
          <t>Formula</t>
        </is>
      </c>
    </row>
    <row r="51">
      <c r="A51" s="5" t="inlineStr">
        <is>
          <t>CFI: proceeds from sale of assets</t>
        </is>
      </c>
      <c r="B51" s="40" t="n">
        <v>477.886</v>
      </c>
      <c r="C51" s="40" t="n">
        <v>969.28</v>
      </c>
      <c r="D51" s="40" t="n">
        <v>1182.495</v>
      </c>
      <c r="E51" s="40" t="n">
        <v>128.384</v>
      </c>
      <c r="F51" s="40" t="n">
        <v>205.276</v>
      </c>
      <c r="G51" s="40" t="n">
        <v>209.278</v>
      </c>
      <c r="H51" s="40" t="n">
        <v>426.342</v>
      </c>
      <c r="I51" s="40" t="n">
        <v>174.054</v>
      </c>
      <c r="J51" s="40" t="n">
        <v>415.283</v>
      </c>
      <c r="K51" s="40" t="n">
        <v>301.097</v>
      </c>
      <c r="L51" s="40" t="n">
        <v>292.061</v>
      </c>
      <c r="M51" s="40" t="n">
        <v>292.281</v>
      </c>
      <c r="N51" s="40" t="n">
        <v>325.061</v>
      </c>
      <c r="O51" s="39" t="inlineStr">
        <is>
          <t>Statement of cash flows; Q2-Q4 derived as YTD less prior YTD (DERIVED). phase2/data/cash_flow.csv</t>
        </is>
      </c>
    </row>
    <row r="52">
      <c r="A52" s="5" t="inlineStr">
        <is>
          <t>CFI: proceeds from sale of seed assets to 2025 Partnership</t>
        </is>
      </c>
      <c r="D52" s="40" t="n">
        <v>529.97</v>
      </c>
      <c r="I52" s="40" t="n">
        <v>58.892</v>
      </c>
      <c r="J52" s="40" t="n">
        <v>338.256</v>
      </c>
      <c r="K52" s="40" t="n">
        <v>87.95999999999999</v>
      </c>
      <c r="L52" s="40" t="n">
        <v>44.862</v>
      </c>
      <c r="M52" s="40" t="n">
        <v>117.345</v>
      </c>
      <c r="N52" s="40" t="n">
        <v>58.312</v>
      </c>
      <c r="O52" s="39" t="inlineStr">
        <is>
          <t>Statement of cash flows; Q2-Q4 derived as YTD less prior YTD (DERIVED). phase2/data/cash_flow.csv</t>
        </is>
      </c>
    </row>
    <row r="53" ht="23" customHeight="1">
      <c r="A53" s="5" t="inlineStr">
        <is>
          <t>CFI: insurance settlement proceeds (Russia)</t>
        </is>
      </c>
      <c r="D53" s="40" t="n">
        <v>54.325</v>
      </c>
      <c r="I53" s="40" t="n">
        <v>30.125</v>
      </c>
      <c r="J53" s="40" t="n">
        <v>24.2</v>
      </c>
      <c r="K53" s="40" t="n">
        <v>0</v>
      </c>
      <c r="L53" s="40" t="n">
        <v>0</v>
      </c>
      <c r="M53" s="40" t="n">
        <v>27.04</v>
      </c>
      <c r="N53" s="40" t="n">
        <v>21.293</v>
      </c>
      <c r="O53" s="39" t="inlineStr">
        <is>
          <t>Statement of cash flows; Q2-Q4 derived as YTD less prior YTD (DERIVED). phase2/data/cash_flow.csv. Proceeds (not the CFO gain add-back)</t>
        </is>
      </c>
    </row>
    <row r="54">
      <c r="A54" s="5" t="inlineStr">
        <is>
          <t>CFI: acquisition of leasing equipment</t>
        </is>
      </c>
      <c r="B54" s="40" t="n">
        <v>-749.78</v>
      </c>
      <c r="C54" s="40" t="n">
        <v>-1147.341</v>
      </c>
      <c r="D54" s="40" t="n">
        <v>-658.799</v>
      </c>
      <c r="E54" s="40" t="n">
        <v>-276.99</v>
      </c>
      <c r="F54" s="40" t="n">
        <v>-159.19</v>
      </c>
      <c r="G54" s="40" t="n">
        <v>-186.186</v>
      </c>
      <c r="H54" s="40" t="n">
        <v>-524.975</v>
      </c>
      <c r="I54" s="40" t="n">
        <v>-267.417</v>
      </c>
      <c r="J54" s="40" t="n">
        <v>-144.719</v>
      </c>
      <c r="K54" s="40" t="n">
        <v>-77.645</v>
      </c>
      <c r="L54" s="40" t="n">
        <v>-169.018</v>
      </c>
      <c r="M54" s="40" t="n">
        <v>-87.79300000000001</v>
      </c>
      <c r="N54" s="40" t="n">
        <v>-75.261</v>
      </c>
      <c r="O54" s="39" t="inlineStr">
        <is>
          <t>Statement of cash flows; Q2-Q4 derived as YTD less prior YTD (DERIVED). phase2/data/cash_flow.csv</t>
        </is>
      </c>
    </row>
    <row r="55" ht="23" customHeight="1">
      <c r="A55" s="5" t="inlineStr">
        <is>
          <t>CFI: investment in unconsolidated entities (SCI)</t>
        </is>
      </c>
      <c r="B55" s="40" t="n">
        <v>-19.5</v>
      </c>
      <c r="D55" s="40" t="n">
        <v>-328.546</v>
      </c>
      <c r="I55" s="40" t="n">
        <v>-19.967</v>
      </c>
      <c r="J55" s="40" t="n">
        <v>-98.76000000000001</v>
      </c>
      <c r="K55" s="40" t="n">
        <v>-69.971</v>
      </c>
      <c r="L55" s="40" t="n">
        <v>-139.848</v>
      </c>
      <c r="M55" s="40" t="n">
        <v>-1.246</v>
      </c>
      <c r="N55" s="40" t="n">
        <v>-98.005</v>
      </c>
      <c r="O55" s="39" t="inlineStr">
        <is>
          <t>Statement of cash flows; Q2-Q4 derived as YTD less prior YTD (DERIVED). phase2/data/cash_flow.csv. Not reported 2024</t>
        </is>
      </c>
    </row>
    <row r="56">
      <c r="A56" s="5" t="inlineStr">
        <is>
          <t>CFI: acquisition of PP&amp;E</t>
        </is>
      </c>
      <c r="B56" s="40" t="n">
        <v>-6.148</v>
      </c>
      <c r="C56" s="40" t="n">
        <v>-9.220000000000001</v>
      </c>
      <c r="D56" s="40" t="n">
        <v>-27.712</v>
      </c>
      <c r="E56" s="40" t="n">
        <v>-1.312</v>
      </c>
      <c r="F56" s="40" t="n">
        <v>-1.159</v>
      </c>
      <c r="G56" s="40" t="n">
        <v>-0.497</v>
      </c>
      <c r="H56" s="40" t="n">
        <v>-6.252</v>
      </c>
      <c r="I56" s="40" t="n">
        <v>-4.156</v>
      </c>
      <c r="J56" s="40" t="n">
        <v>-6.929</v>
      </c>
      <c r="K56" s="40" t="n">
        <v>-6.426</v>
      </c>
      <c r="L56" s="40" t="n">
        <v>-10.201</v>
      </c>
      <c r="M56" s="40" t="n">
        <v>-6.641</v>
      </c>
      <c r="N56" s="40" t="n">
        <v>-17.375</v>
      </c>
      <c r="O56" s="39" t="inlineStr">
        <is>
          <t>Statement of cash flows; Q2-Q4 derived as YTD less prior YTD (DERIVED). phase2/data/cash_flow.csv</t>
        </is>
      </c>
    </row>
    <row r="57" ht="23" customHeight="1">
      <c r="A57" s="5" t="inlineStr">
        <is>
          <t>CFI: return of capital from unconsolidated entities (SCI distributions)</t>
        </is>
      </c>
      <c r="D57" s="40" t="n">
        <v>27.1</v>
      </c>
      <c r="I57" s="40" t="n">
        <v>0</v>
      </c>
      <c r="J57" s="40" t="n">
        <v>0</v>
      </c>
      <c r="K57" s="40" t="n">
        <v>27.1</v>
      </c>
      <c r="L57" s="40" t="n">
        <v>0</v>
      </c>
      <c r="M57" s="40" t="n">
        <v>0</v>
      </c>
      <c r="N57" s="40" t="n">
        <v>19.2</v>
      </c>
      <c r="O57" s="39" t="inlineStr">
        <is>
          <t>Carried from prior research (phase2/data/cash_flow.csv), not re-parsed from filings. Reported from Q1-25</t>
        </is>
      </c>
    </row>
    <row r="58">
      <c r="A58" s="5" t="inlineStr">
        <is>
          <t>CFO: change in inventory (negative = outflow)</t>
        </is>
      </c>
      <c r="B58" s="40" t="n">
        <v>-31.884</v>
      </c>
      <c r="C58" s="40" t="n">
        <v>-206.88</v>
      </c>
      <c r="D58" s="40" t="n">
        <v>-645.4640000000001</v>
      </c>
      <c r="E58" s="40" t="n">
        <v>-6.877</v>
      </c>
      <c r="F58" s="40" t="n">
        <v>-52.12</v>
      </c>
      <c r="G58" s="40" t="n">
        <v>-104.903</v>
      </c>
      <c r="H58" s="40" t="n">
        <v>-42.98</v>
      </c>
      <c r="I58" s="40" t="n">
        <v>-127.211</v>
      </c>
      <c r="J58" s="40" t="n">
        <v>-141.56</v>
      </c>
      <c r="K58" s="40" t="n">
        <v>-123.137</v>
      </c>
      <c r="L58" s="40" t="n">
        <v>-253.556</v>
      </c>
      <c r="M58" s="40" t="n">
        <v>-186.896</v>
      </c>
      <c r="N58" s="40" t="n">
        <v>-266.163</v>
      </c>
      <c r="O58" s="39" t="inlineStr">
        <is>
          <t>Statement of cash flows; Q2-Q4 derived as YTD less prior YTD (DERIVED). phase2/data/cash_flow.csv</t>
        </is>
      </c>
    </row>
    <row r="59">
      <c r="A59" s="5" t="inlineStr">
        <is>
          <t>Memo: inventory-sourced sale proceeds booked in CFI</t>
        </is>
      </c>
      <c r="D59" s="40" t="n">
        <v>1058.9</v>
      </c>
      <c r="I59" s="40" t="n">
        <v>145.4</v>
      </c>
      <c r="J59" s="40" t="n">
        <v>270</v>
      </c>
      <c r="K59" s="40" t="n">
        <v>220.4</v>
      </c>
      <c r="L59" s="40" t="n">
        <v>423.1</v>
      </c>
      <c r="M59" s="40" t="n">
        <v>280.7</v>
      </c>
      <c r="N59" s="40" t="n">
        <v>257.8</v>
      </c>
      <c r="O59" s="39" t="inlineStr">
        <is>
          <t>Prior research carry-over (inventory-sourced items), labelled in cash_flow.csv. Reported from Q1-25</t>
        </is>
      </c>
    </row>
    <row r="60" ht="23" customHeight="1">
      <c r="A60" s="5" t="inlineStr">
        <is>
          <t>Company-reported Adjusted FCF</t>
        </is>
      </c>
      <c r="D60" s="40" t="n">
        <v>724</v>
      </c>
      <c r="J60" s="40" t="n">
        <v>423.5</v>
      </c>
      <c r="M60" s="40" t="n">
        <v>158</v>
      </c>
      <c r="N60" s="40" t="n">
        <v>97</v>
      </c>
      <c r="O60" s="39" t="inlineStr">
        <is>
          <t>Q2-25 release (EDGAR); FY25 724 and Q1-26 158 from calls (secondary). Q2-26 = 1H26 255 less Q1 158 (derived)</t>
        </is>
      </c>
    </row>
    <row r="61">
      <c r="A61" s="10" t="inlineStr">
        <is>
          <t>Balance sheet (period end, USD m)</t>
        </is>
      </c>
      <c r="B61" s="11" t="n"/>
      <c r="C61" s="11" t="n"/>
      <c r="D61" s="11" t="n"/>
      <c r="E61" s="11" t="n"/>
      <c r="F61" s="11" t="n"/>
      <c r="G61" s="11" t="n"/>
      <c r="H61" s="11" t="n"/>
      <c r="I61" s="11" t="n"/>
      <c r="J61" s="11" t="n"/>
      <c r="K61" s="11" t="n"/>
      <c r="L61" s="11" t="n"/>
      <c r="M61" s="11" t="n"/>
      <c r="N61" s="11" t="n"/>
      <c r="O61" s="11" t="n"/>
    </row>
    <row r="62">
      <c r="A62" s="5" t="inlineStr">
        <is>
          <t>Cash and cash equivalents</t>
        </is>
      </c>
      <c r="B62" s="40" t="n">
        <v>90.756</v>
      </c>
      <c r="C62" s="40" t="n">
        <v>115.116</v>
      </c>
      <c r="D62" s="40" t="n">
        <v>300.476</v>
      </c>
      <c r="E62" s="40" t="n">
        <v>65.224</v>
      </c>
      <c r="F62" s="40" t="n">
        <v>169.485</v>
      </c>
      <c r="G62" s="40" t="n">
        <v>111.888</v>
      </c>
      <c r="H62" s="40" t="n">
        <v>115.116</v>
      </c>
      <c r="I62" s="40" t="n">
        <v>112.133</v>
      </c>
      <c r="J62" s="40" t="n">
        <v>301.911</v>
      </c>
      <c r="K62" s="40" t="n">
        <v>509.945</v>
      </c>
      <c r="L62" s="40" t="n">
        <v>300.476</v>
      </c>
      <c r="M62" s="40" t="n">
        <v>412.24</v>
      </c>
      <c r="N62" s="40" t="n">
        <v>337.195</v>
      </c>
      <c r="O62" s="39" t="inlineStr">
        <is>
          <t>10-Q/10-K balance sheet &amp; debt note (phase2/data/balance_sheet.csv); FY = Q4 balance</t>
        </is>
      </c>
    </row>
    <row r="63">
      <c r="A63" s="5" t="inlineStr">
        <is>
          <t>Inventory, net</t>
        </is>
      </c>
      <c r="B63" s="40" t="n">
        <v>316.637</v>
      </c>
      <c r="C63" s="40" t="n">
        <v>551.1559999999999</v>
      </c>
      <c r="D63" s="40" t="n">
        <v>1193.773</v>
      </c>
      <c r="E63" s="40" t="n">
        <v>345.47</v>
      </c>
      <c r="F63" s="40" t="n">
        <v>373.282</v>
      </c>
      <c r="G63" s="40" t="n">
        <v>490.997</v>
      </c>
      <c r="H63" s="40" t="n">
        <v>551.1559999999999</v>
      </c>
      <c r="I63" s="40" t="n">
        <v>645.163</v>
      </c>
      <c r="J63" s="40" t="n">
        <v>752.866</v>
      </c>
      <c r="K63" s="40" t="n">
        <v>897.216</v>
      </c>
      <c r="L63" s="40" t="n">
        <v>1193.773</v>
      </c>
      <c r="M63" s="40" t="n">
        <v>1364.256</v>
      </c>
      <c r="N63" s="40" t="n">
        <v>1544.592</v>
      </c>
      <c r="O63" s="39" t="inlineStr">
        <is>
          <t>10-Q/10-K balance sheet &amp; debt note (phase2/data/balance_sheet.csv); FY = Q4 balance</t>
        </is>
      </c>
    </row>
    <row r="64">
      <c r="A64" s="5" t="inlineStr">
        <is>
          <t>Leasing equipment, net</t>
        </is>
      </c>
      <c r="B64" s="40" t="n">
        <v>2032.413</v>
      </c>
      <c r="C64" s="40" t="n">
        <v>2373.73</v>
      </c>
      <c r="D64" s="40" t="n">
        <v>1545.804</v>
      </c>
      <c r="E64" s="40" t="n">
        <v>2187.716</v>
      </c>
      <c r="F64" s="40" t="n">
        <v>2202.866</v>
      </c>
      <c r="G64" s="40" t="n">
        <v>2066.337</v>
      </c>
      <c r="H64" s="40" t="n">
        <v>2373.73</v>
      </c>
      <c r="I64" s="40" t="n">
        <v>1989.367</v>
      </c>
      <c r="J64" s="40" t="n">
        <v>1849.116</v>
      </c>
      <c r="K64" s="40" t="n">
        <v>1669.634</v>
      </c>
      <c r="L64" s="40" t="n">
        <v>1545.804</v>
      </c>
      <c r="M64" s="40" t="n">
        <v>1248.793</v>
      </c>
      <c r="N64" s="40" t="n">
        <v>1146.373</v>
      </c>
      <c r="O64" s="39" t="inlineStr">
        <is>
          <t>10-Q/10-K balance sheet &amp; debt note (phase2/data/balance_sheet.csv); FY = Q4 balance</t>
        </is>
      </c>
    </row>
    <row r="65">
      <c r="A65" s="5" t="inlineStr">
        <is>
          <t>Investments in unconsolidated entities (incl. 2025 Partnership)</t>
        </is>
      </c>
      <c r="B65" s="40" t="n">
        <v>22.722</v>
      </c>
      <c r="C65" s="40" t="n">
        <v>19.048</v>
      </c>
      <c r="D65" s="40" t="n">
        <v>314.156</v>
      </c>
      <c r="E65" s="40" t="n">
        <v>22.055</v>
      </c>
      <c r="F65" s="40" t="n">
        <v>19.886</v>
      </c>
      <c r="G65" s="40" t="n">
        <v>19.448</v>
      </c>
      <c r="H65" s="40" t="n">
        <v>19.048</v>
      </c>
      <c r="I65" s="40" t="n">
        <v>31.4</v>
      </c>
      <c r="J65" s="40" t="n">
        <v>125.713</v>
      </c>
      <c r="K65" s="40" t="n">
        <v>164.346</v>
      </c>
      <c r="L65" s="40" t="n">
        <v>314.156</v>
      </c>
      <c r="M65" s="40" t="n">
        <v>313.039</v>
      </c>
      <c r="N65" s="40" t="n">
        <v>401.803</v>
      </c>
      <c r="O65" s="39" t="inlineStr">
        <is>
          <t>10-Q/10-K balance sheet &amp; debt note (phase2/data/balance_sheet.csv); FY = Q4 balance</t>
        </is>
      </c>
    </row>
    <row r="66">
      <c r="A66" s="5" t="inlineStr">
        <is>
          <t xml:space="preserve">  of which: 2025 Partnership (SCI I) equity-method carrying value</t>
        </is>
      </c>
      <c r="D66" s="40" t="n">
        <v>281.74</v>
      </c>
      <c r="L66" s="40" t="n">
        <v>281.74</v>
      </c>
      <c r="N66" s="40" t="n">
        <v>365.485</v>
      </c>
      <c r="O66" s="39" t="inlineStr">
        <is>
          <t>related_party.csv: 12/31/25 281.74; 6/30/26 365.485 (19% interest)</t>
        </is>
      </c>
    </row>
    <row r="67">
      <c r="A67" s="5" t="inlineStr">
        <is>
          <t>Total assets</t>
        </is>
      </c>
      <c r="B67" s="40" t="n">
        <v>2964.685</v>
      </c>
      <c r="C67" s="40" t="n">
        <v>4037.952</v>
      </c>
      <c r="D67" s="40" t="n">
        <v>4373.758</v>
      </c>
      <c r="E67" s="40" t="n">
        <v>3175.906</v>
      </c>
      <c r="F67" s="40" t="n">
        <v>3449.252</v>
      </c>
      <c r="G67" s="40" t="n">
        <v>3738.91</v>
      </c>
      <c r="H67" s="40" t="n">
        <v>4037.952</v>
      </c>
      <c r="I67" s="40" t="n">
        <v>4268.144</v>
      </c>
      <c r="J67" s="40" t="n">
        <v>4101.075</v>
      </c>
      <c r="K67" s="40" t="n">
        <v>4240.2</v>
      </c>
      <c r="L67" s="40" t="n">
        <v>4373.758</v>
      </c>
      <c r="M67" s="40" t="n">
        <v>4528.911</v>
      </c>
      <c r="N67" s="40" t="n">
        <v>4489.162</v>
      </c>
      <c r="O67" s="39" t="inlineStr">
        <is>
          <t>10-Q/10-K balance sheet &amp; debt note (phase2/data/balance_sheet.csv); FY = Q4 balance</t>
        </is>
      </c>
    </row>
    <row r="68">
      <c r="A68" s="5" t="inlineStr">
        <is>
          <t>Total debt (carrying, before issuance costs)</t>
        </is>
      </c>
      <c r="B68" s="40" t="n">
        <v>2550.493</v>
      </c>
      <c r="C68" s="40" t="n">
        <v>3496.004</v>
      </c>
      <c r="D68" s="40" t="n">
        <v>3496.249</v>
      </c>
      <c r="E68" s="40" t="n">
        <v>2725.234</v>
      </c>
      <c r="F68" s="40" t="n">
        <v>3129.358</v>
      </c>
      <c r="G68" s="40" t="n">
        <v>3278.951</v>
      </c>
      <c r="H68" s="40" t="n">
        <v>3496.004</v>
      </c>
      <c r="I68" s="40" t="n">
        <v>3696.063</v>
      </c>
      <c r="J68" s="40" t="n">
        <v>3496.122</v>
      </c>
      <c r="K68" s="40" t="n">
        <v>3496.185</v>
      </c>
      <c r="L68" s="40" t="n">
        <v>3496.249</v>
      </c>
      <c r="M68" s="40" t="n">
        <v>3496.314</v>
      </c>
      <c r="N68" s="40" t="n">
        <v>3496.38</v>
      </c>
      <c r="O68" s="39" t="inlineStr">
        <is>
          <t>10-Q/10-K balance sheet &amp; debt note (phase2/data/balance_sheet.csv); FY = Q4 balance</t>
        </is>
      </c>
    </row>
    <row r="69">
      <c r="A69" s="5" t="inlineStr">
        <is>
          <t>Unamortized issuance costs</t>
        </is>
      </c>
      <c r="B69" s="40" t="n">
        <v>-33.15</v>
      </c>
      <c r="C69" s="40" t="n">
        <v>-55.526</v>
      </c>
      <c r="D69" s="40" t="n">
        <v>-47.358</v>
      </c>
      <c r="E69" s="40" t="n">
        <v>-31.48</v>
      </c>
      <c r="F69" s="40" t="n">
        <v>-51.762</v>
      </c>
      <c r="G69" s="40" t="n">
        <v>-60.608</v>
      </c>
      <c r="H69" s="40" t="n">
        <v>-55.526</v>
      </c>
      <c r="I69" s="40" t="n">
        <v>-53.536</v>
      </c>
      <c r="J69" s="40" t="n">
        <v>-51.51</v>
      </c>
      <c r="K69" s="40" t="n">
        <v>-49.452</v>
      </c>
      <c r="L69" s="40" t="n">
        <v>-47.358</v>
      </c>
      <c r="M69" s="40" t="n">
        <v>-45.227</v>
      </c>
      <c r="N69" s="40" t="n">
        <v>-43.06</v>
      </c>
      <c r="O69" s="39" t="inlineStr">
        <is>
          <t>10-Q/10-K balance sheet &amp; debt note (phase2/data/balance_sheet.csv); FY = Q4 balance</t>
        </is>
      </c>
    </row>
    <row r="70">
      <c r="A70" s="5" t="inlineStr">
        <is>
          <t>Total liabilities</t>
        </is>
      </c>
      <c r="B70" s="40" t="n">
        <v>2788.802</v>
      </c>
      <c r="C70" s="40" t="n">
        <v>3956.584</v>
      </c>
      <c r="D70" s="40" t="n">
        <v>4039.584</v>
      </c>
      <c r="E70" s="40" t="n">
        <v>2998.3</v>
      </c>
      <c r="F70" s="40" t="n">
        <v>3379.685</v>
      </c>
      <c r="G70" s="40" t="n">
        <v>3620.378</v>
      </c>
      <c r="H70" s="40" t="n">
        <v>3956.584</v>
      </c>
      <c r="I70" s="40" t="n">
        <v>4239.811</v>
      </c>
      <c r="J70" s="40" t="n">
        <v>3936.131</v>
      </c>
      <c r="K70" s="40" t="n">
        <v>3987.736</v>
      </c>
      <c r="L70" s="40" t="n">
        <v>4039.584</v>
      </c>
      <c r="M70" s="40" t="n">
        <v>4097.235</v>
      </c>
      <c r="N70" s="40" t="n">
        <v>4085.175</v>
      </c>
      <c r="O70" s="39" t="inlineStr">
        <is>
          <t>10-Q/10-K balance sheet &amp; debt note (phase2/data/balance_sheet.csv); FY = Q4 balance</t>
        </is>
      </c>
    </row>
    <row r="71">
      <c r="A71" s="5" t="inlineStr">
        <is>
          <t>Shareholders' equity</t>
        </is>
      </c>
      <c r="B71" s="40" t="n">
        <v>175.349</v>
      </c>
      <c r="C71" s="40" t="n">
        <v>81.36799999999999</v>
      </c>
      <c r="D71" s="40" t="n">
        <v>334.174</v>
      </c>
      <c r="E71" s="40" t="n">
        <v>177.072</v>
      </c>
      <c r="F71" s="40" t="n">
        <v>69.56699999999999</v>
      </c>
      <c r="G71" s="40" t="n">
        <v>118.532</v>
      </c>
      <c r="H71" s="40" t="n">
        <v>81.36799999999999</v>
      </c>
      <c r="I71" s="40" t="n">
        <v>28.333</v>
      </c>
      <c r="J71" s="40" t="n">
        <v>164.944</v>
      </c>
      <c r="K71" s="40" t="n">
        <v>252.464</v>
      </c>
      <c r="L71" s="40" t="n">
        <v>334.174</v>
      </c>
      <c r="M71" s="40" t="n">
        <v>431.676</v>
      </c>
      <c r="N71" s="40" t="n">
        <v>403.987</v>
      </c>
      <c r="O71" s="39" t="inlineStr">
        <is>
          <t>10-Q/10-K balance sheet &amp; debt note (phase2/data/balance_sheet.csv); FY = Q4 balance</t>
        </is>
      </c>
    </row>
    <row r="72">
      <c r="A72" s="5" t="inlineStr">
        <is>
          <t>Preferred shares outstanding (M; $25 liquidation preference)</t>
        </is>
      </c>
      <c r="B72" s="40" t="n">
        <v>15.92</v>
      </c>
      <c r="C72" s="40" t="n">
        <v>11.74</v>
      </c>
      <c r="D72" s="40" t="n">
        <v>6.8</v>
      </c>
      <c r="E72" s="40" t="n">
        <v>15.92</v>
      </c>
      <c r="F72" s="40" t="n">
        <v>15.92</v>
      </c>
      <c r="G72" s="40" t="n">
        <v>15.92</v>
      </c>
      <c r="H72" s="40" t="n">
        <v>11.74</v>
      </c>
      <c r="I72" s="40" t="n">
        <v>6.8</v>
      </c>
      <c r="J72" s="40" t="n">
        <v>6.8</v>
      </c>
      <c r="K72" s="40" t="n">
        <v>6.8</v>
      </c>
      <c r="L72" s="40" t="n">
        <v>6.8</v>
      </c>
      <c r="M72" s="40" t="n">
        <v>6.8</v>
      </c>
      <c r="N72" s="40" t="n">
        <v>2.6</v>
      </c>
      <c r="O72" s="39" t="inlineStr">
        <is>
          <t>10-Q/10-K balance sheet &amp; debt note (phase2/data/balance_sheet.csv); FY = Q4 balance</t>
        </is>
      </c>
    </row>
    <row r="73">
      <c r="A73" s="10" t="inlineStr">
        <is>
          <t>Related party (2025 Partnership / SCI)</t>
        </is>
      </c>
      <c r="B73" s="11" t="n"/>
      <c r="C73" s="11" t="n"/>
      <c r="D73" s="11" t="n"/>
      <c r="E73" s="11" t="n"/>
      <c r="F73" s="11" t="n"/>
      <c r="G73" s="11" t="n"/>
      <c r="H73" s="11" t="n"/>
      <c r="I73" s="11" t="n"/>
      <c r="J73" s="11" t="n"/>
      <c r="K73" s="11" t="n"/>
      <c r="L73" s="11" t="n"/>
      <c r="M73" s="11" t="n"/>
      <c r="N73" s="11" t="n"/>
      <c r="O73" s="11" t="n"/>
    </row>
    <row r="74">
      <c r="A74" s="5" t="inlineStr">
        <is>
          <t>Servicing / management fees from Partnership</t>
        </is>
      </c>
      <c r="I74" s="40" t="n">
        <v>0</v>
      </c>
      <c r="J74" s="40" t="n">
        <v>2.052</v>
      </c>
      <c r="K74" s="40" t="n">
        <v>3.035</v>
      </c>
      <c r="L74" s="40" t="n">
        <v>4.515</v>
      </c>
      <c r="M74" s="40" t="n">
        <v>5.861</v>
      </c>
      <c r="N74" s="40" t="n">
        <v>6.988</v>
      </c>
      <c r="O74" s="39" t="inlineStr">
        <is>
          <t>related_party.csv (10-Q segment note)</t>
        </is>
      </c>
    </row>
    <row r="75">
      <c r="A75" s="5" t="inlineStr">
        <is>
          <t>Accounts receivable from Partnership</t>
        </is>
      </c>
      <c r="J75" s="40" t="n">
        <v>93.57599999999999</v>
      </c>
      <c r="K75" s="40" t="n">
        <v>41.556</v>
      </c>
      <c r="L75" s="40" t="n">
        <v>47.294</v>
      </c>
      <c r="M75" s="40" t="n">
        <v>35.422</v>
      </c>
      <c r="N75" s="40" t="n">
        <v>25.456</v>
      </c>
      <c r="O75" s="39" t="inlineStr">
        <is>
          <t>related_party.csv</t>
        </is>
      </c>
    </row>
    <row r="76">
      <c r="A76" s="10" t="inlineStr">
        <is>
          <t>KPIs (computed)</t>
        </is>
      </c>
      <c r="B76" s="11" t="n"/>
      <c r="C76" s="11" t="n"/>
      <c r="D76" s="11" t="n"/>
      <c r="E76" s="11" t="n"/>
      <c r="F76" s="11" t="n"/>
      <c r="G76" s="11" t="n"/>
      <c r="H76" s="11" t="n"/>
      <c r="I76" s="11" t="n"/>
      <c r="J76" s="11" t="n"/>
      <c r="K76" s="11" t="n"/>
      <c r="L76" s="11" t="n"/>
      <c r="M76" s="11" t="n"/>
      <c r="N76" s="11" t="n"/>
      <c r="O76" s="11" t="n"/>
    </row>
    <row r="77">
      <c r="A77" s="5" t="inlineStr">
        <is>
          <t>Days in period</t>
        </is>
      </c>
      <c r="B77" s="40" t="n">
        <v>365</v>
      </c>
      <c r="C77" s="40" t="n">
        <v>365</v>
      </c>
      <c r="D77" s="40" t="n">
        <v>365</v>
      </c>
      <c r="E77" s="40" t="n">
        <v>91.25</v>
      </c>
      <c r="F77" s="40" t="n">
        <v>91.25</v>
      </c>
      <c r="G77" s="40" t="n">
        <v>91.25</v>
      </c>
      <c r="H77" s="40" t="n">
        <v>91.25</v>
      </c>
      <c r="I77" s="40" t="n">
        <v>91.25</v>
      </c>
      <c r="J77" s="40" t="n">
        <v>91.25</v>
      </c>
      <c r="K77" s="40" t="n">
        <v>91.25</v>
      </c>
      <c r="L77" s="40" t="n">
        <v>91.25</v>
      </c>
      <c r="M77" s="40" t="n">
        <v>91.25</v>
      </c>
      <c r="N77" s="40" t="n">
        <v>91.25</v>
      </c>
      <c r="O77" s="39" t="inlineStr">
        <is>
          <t>Input: 365 for FY, 365/4 for quarters</t>
        </is>
      </c>
    </row>
    <row r="78">
      <c r="A78" s="5" t="inlineStr">
        <is>
          <t>Gains as % of Adjusted EBITDA</t>
        </is>
      </c>
      <c r="B78" s="9">
        <f>IF(B37=0,"",B46/B37)</f>
        <v/>
      </c>
      <c r="C78" s="9">
        <f>IF(C37=0,"",C46/C37)</f>
        <v/>
      </c>
      <c r="D78" s="9">
        <f>IF(D37=0,"",D46/D37)</f>
        <v/>
      </c>
      <c r="E78" s="9">
        <f>IF(E37=0,"",E46/E37)</f>
        <v/>
      </c>
      <c r="F78" s="9">
        <f>IF(F37=0,"",F46/F37)</f>
        <v/>
      </c>
      <c r="G78" s="9">
        <f>IF(G37=0,"",G46/G37)</f>
        <v/>
      </c>
      <c r="H78" s="9">
        <f>IF(H37=0,"",H46/H37)</f>
        <v/>
      </c>
      <c r="I78" s="9">
        <f>IF(I37=0,"",I46/I37)</f>
        <v/>
      </c>
      <c r="J78" s="9">
        <f>IF(J37=0,"",J46/J37)</f>
        <v/>
      </c>
      <c r="K78" s="9">
        <f>IF(K37=0,"",K46/K37)</f>
        <v/>
      </c>
      <c r="L78" s="9">
        <f>IF(L37=0,"",L46/L37)</f>
        <v/>
      </c>
      <c r="M78" s="9">
        <f>IF(M37=0,"",M46/M37)</f>
        <v/>
      </c>
      <c r="N78" s="9">
        <f>IF(N37=0,"",N46/N37)</f>
        <v/>
      </c>
      <c r="O78" s="39" t="inlineStr">
        <is>
          <t>Formula (gains from CFS add-backs)</t>
        </is>
      </c>
    </row>
    <row r="79">
      <c r="A79" s="5" t="inlineStr">
        <is>
          <t>MRE share of Aerospace segment revenue</t>
        </is>
      </c>
      <c r="B79" s="9">
        <f>IF(OR(B7="",B14=0),"",B7/B14)</f>
        <v/>
      </c>
      <c r="C79" s="9">
        <f>IF(OR(C7="",C14=0),"",C7/C14)</f>
        <v/>
      </c>
      <c r="D79" s="9">
        <f>IF(OR(D7="",D14=0),"",D7/D14)</f>
        <v/>
      </c>
      <c r="E79" s="9">
        <f>IF(OR(E7="",E14=0),"",E7/E14)</f>
        <v/>
      </c>
      <c r="F79" s="9">
        <f>IF(OR(F7="",F14=0),"",F7/F14)</f>
        <v/>
      </c>
      <c r="G79" s="9">
        <f>IF(OR(G7="",G14=0),"",G7/G14)</f>
        <v/>
      </c>
      <c r="H79" s="9">
        <f>IF(OR(H7="",H14=0),"",H7/H14)</f>
        <v/>
      </c>
      <c r="I79" s="9">
        <f>IF(OR(I7="",I14=0),"",I7/I14)</f>
        <v/>
      </c>
      <c r="J79" s="9">
        <f>IF(OR(J7="",J14=0),"",J7/J14)</f>
        <v/>
      </c>
      <c r="K79" s="9">
        <f>IF(OR(K7="",K14=0),"",K7/K14)</f>
        <v/>
      </c>
      <c r="L79" s="9">
        <f>IF(OR(L7="",L14=0),"",L7/L14)</f>
        <v/>
      </c>
      <c r="M79" s="9">
        <f>IF(OR(M7="",M14=0),"",M7/M14)</f>
        <v/>
      </c>
      <c r="N79" s="9">
        <f>IF(OR(N7="",N14=0),"",N7/N14)</f>
        <v/>
      </c>
      <c r="O79" s="39" t="inlineStr">
        <is>
          <t>Formula</t>
        </is>
      </c>
    </row>
    <row r="80">
      <c r="A80" s="5" t="inlineStr">
        <is>
          <t>Aerospace Adj. EBITDA margin</t>
        </is>
      </c>
      <c r="B80" s="9">
        <f>IF(B14=0,"",B33/B14)</f>
        <v/>
      </c>
      <c r="C80" s="9">
        <f>IF(C14=0,"",C33/C14)</f>
        <v/>
      </c>
      <c r="D80" s="9">
        <f>IF(D14=0,"",D33/D14)</f>
        <v/>
      </c>
      <c r="E80" s="9">
        <f>IF(E14=0,"",E33/E14)</f>
        <v/>
      </c>
      <c r="F80" s="9">
        <f>IF(F14=0,"",F33/F14)</f>
        <v/>
      </c>
      <c r="G80" s="9">
        <f>IF(G14=0,"",G33/G14)</f>
        <v/>
      </c>
      <c r="H80" s="9">
        <f>IF(H14=0,"",H33/H14)</f>
        <v/>
      </c>
      <c r="I80" s="9">
        <f>IF(I14=0,"",I33/I14)</f>
        <v/>
      </c>
      <c r="J80" s="9">
        <f>IF(J14=0,"",J33/J14)</f>
        <v/>
      </c>
      <c r="K80" s="9">
        <f>IF(K14=0,"",K33/K14)</f>
        <v/>
      </c>
      <c r="L80" s="9">
        <f>IF(L14=0,"",L33/L14)</f>
        <v/>
      </c>
      <c r="M80" s="9">
        <f>IF(M14=0,"",M33/M14)</f>
        <v/>
      </c>
      <c r="N80" s="9">
        <f>IF(N14=0,"",N33/N14)</f>
        <v/>
      </c>
      <c r="O80" s="39" t="inlineStr">
        <is>
          <t>Formula</t>
        </is>
      </c>
    </row>
    <row r="81">
      <c r="A81" s="5" t="inlineStr">
        <is>
          <t>Inventory days (on total cost of sales)</t>
        </is>
      </c>
      <c r="B81" s="60">
        <f>IF(B16=0,"",B63/B16*B77)</f>
        <v/>
      </c>
      <c r="C81" s="60">
        <f>IF(C16=0,"",C63/C16*C77)</f>
        <v/>
      </c>
      <c r="D81" s="60">
        <f>IF(D16=0,"",D63/D16*D77)</f>
        <v/>
      </c>
      <c r="E81" s="60">
        <f>IF(E16=0,"",E63/E16*E77)</f>
        <v/>
      </c>
      <c r="F81" s="60">
        <f>IF(F16=0,"",F63/F16*F77)</f>
        <v/>
      </c>
      <c r="G81" s="60">
        <f>IF(G16=0,"",G63/G16*G77)</f>
        <v/>
      </c>
      <c r="H81" s="60">
        <f>IF(H16=0,"",H63/H16*H77)</f>
        <v/>
      </c>
      <c r="I81" s="60">
        <f>IF(I16=0,"",I63/I16*I77)</f>
        <v/>
      </c>
      <c r="J81" s="60">
        <f>IF(J16=0,"",J63/J16*J77)</f>
        <v/>
      </c>
      <c r="K81" s="60">
        <f>IF(K16=0,"",K63/K16*K77)</f>
        <v/>
      </c>
      <c r="L81" s="60">
        <f>IF(L16=0,"",L63/L16*L77)</f>
        <v/>
      </c>
      <c r="M81" s="60">
        <f>IF(M16=0,"",M63/M16*M77)</f>
        <v/>
      </c>
      <c r="N81" s="60">
        <f>IF(N16=0,"",N63/N16*N77)</f>
        <v/>
      </c>
      <c r="O81" s="39" t="inlineStr">
        <is>
          <t>Formula: period-end inventory / period cost of sales x days. Q2-26 ~222</t>
        </is>
      </c>
    </row>
    <row r="82">
      <c r="A82" s="5" t="inlineStr">
        <is>
          <t>Inventory days (on Aerospace cost of sales)</t>
        </is>
      </c>
      <c r="B82" s="60">
        <f>IF(B17=0,"",B63/B17*B77)</f>
        <v/>
      </c>
      <c r="C82" s="60">
        <f>IF(C17=0,"",C63/C17*C77)</f>
        <v/>
      </c>
      <c r="D82" s="60">
        <f>IF(D17=0,"",D63/D17*D77)</f>
        <v/>
      </c>
      <c r="E82" s="60">
        <f>IF(E17=0,"",E63/E17*E77)</f>
        <v/>
      </c>
      <c r="F82" s="60">
        <f>IF(F17=0,"",F63/F17*F77)</f>
        <v/>
      </c>
      <c r="G82" s="60">
        <f>IF(G17=0,"",G63/G17*G77)</f>
        <v/>
      </c>
      <c r="H82" s="60">
        <f>IF(H17=0,"",H63/H17*H77)</f>
        <v/>
      </c>
      <c r="I82" s="60">
        <f>IF(I17=0,"",I63/I17*I77)</f>
        <v/>
      </c>
      <c r="J82" s="60">
        <f>IF(J17=0,"",J63/J17*J77)</f>
        <v/>
      </c>
      <c r="K82" s="60">
        <f>IF(K17=0,"",K63/K17*K77)</f>
        <v/>
      </c>
      <c r="L82" s="60">
        <f>IF(L17=0,"",L63/L17*L77)</f>
        <v/>
      </c>
      <c r="M82" s="60">
        <f>IF(M17=0,"",M63/M17*M77)</f>
        <v/>
      </c>
      <c r="N82" s="60">
        <f>IF(N17=0,"",N63/N17*N77)</f>
        <v/>
      </c>
      <c r="O82" s="39" t="inlineStr">
        <is>
          <t>Formula</t>
        </is>
      </c>
    </row>
    <row r="83">
      <c r="A83" s="5" t="inlineStr">
        <is>
          <t>CFO / Adjusted EBITDA</t>
        </is>
      </c>
      <c r="B83" s="9">
        <f>IF(B37=0,"",B48/B37)</f>
        <v/>
      </c>
      <c r="C83" s="9">
        <f>IF(C37=0,"",C48/C37)</f>
        <v/>
      </c>
      <c r="D83" s="9">
        <f>IF(D37=0,"",D48/D37)</f>
        <v/>
      </c>
      <c r="E83" s="9">
        <f>IF(E37=0,"",E48/E37)</f>
        <v/>
      </c>
      <c r="F83" s="9">
        <f>IF(F37=0,"",F48/F37)</f>
        <v/>
      </c>
      <c r="G83" s="9">
        <f>IF(G37=0,"",G48/G37)</f>
        <v/>
      </c>
      <c r="H83" s="9">
        <f>IF(H37=0,"",H48/H37)</f>
        <v/>
      </c>
      <c r="I83" s="9">
        <f>IF(I37=0,"",I48/I37)</f>
        <v/>
      </c>
      <c r="J83" s="9">
        <f>IF(J37=0,"",J48/J37)</f>
        <v/>
      </c>
      <c r="K83" s="9">
        <f>IF(K37=0,"",K48/K37)</f>
        <v/>
      </c>
      <c r="L83" s="9">
        <f>IF(L37=0,"",L48/L37)</f>
        <v/>
      </c>
      <c r="M83" s="9">
        <f>IF(M37=0,"",M48/M37)</f>
        <v/>
      </c>
      <c r="N83" s="9">
        <f>IF(N37=0,"",N48/N37)</f>
        <v/>
      </c>
      <c r="O83" s="39" t="inlineStr">
        <is>
          <t>Formula</t>
        </is>
      </c>
    </row>
    <row r="84">
      <c r="A84" s="5" t="inlineStr">
        <is>
          <t>(CFO + CFI) / Adjusted EBITDA</t>
        </is>
      </c>
      <c r="B84" s="9">
        <f>IF(B37=0,"",B50/B37)</f>
        <v/>
      </c>
      <c r="C84" s="9">
        <f>IF(C37=0,"",C50/C37)</f>
        <v/>
      </c>
      <c r="D84" s="9">
        <f>IF(D37=0,"",D50/D37)</f>
        <v/>
      </c>
      <c r="E84" s="9">
        <f>IF(E37=0,"",E50/E37)</f>
        <v/>
      </c>
      <c r="F84" s="9">
        <f>IF(F37=0,"",F50/F37)</f>
        <v/>
      </c>
      <c r="G84" s="9">
        <f>IF(G37=0,"",G50/G37)</f>
        <v/>
      </c>
      <c r="H84" s="9">
        <f>IF(H37=0,"",H50/H37)</f>
        <v/>
      </c>
      <c r="I84" s="9">
        <f>IF(I37=0,"",I50/I37)</f>
        <v/>
      </c>
      <c r="J84" s="9">
        <f>IF(J37=0,"",J50/J37)</f>
        <v/>
      </c>
      <c r="K84" s="9">
        <f>IF(K37=0,"",K50/K37)</f>
        <v/>
      </c>
      <c r="L84" s="9">
        <f>IF(L37=0,"",L50/L37)</f>
        <v/>
      </c>
      <c r="M84" s="9">
        <f>IF(M37=0,"",M50/M37)</f>
        <v/>
      </c>
      <c r="N84" s="9">
        <f>IF(N37=0,"",N50/N37)</f>
        <v/>
      </c>
      <c r="O84" s="39" t="inlineStr">
        <is>
          <t>Formula</t>
        </is>
      </c>
    </row>
    <row r="85">
      <c r="A85" s="5" t="inlineStr">
        <is>
          <t>Seed-sale proceeds + insurance proceeds (one-off CFI items)</t>
        </is>
      </c>
      <c r="B85" s="60">
        <f>N(B52)+N(B53)</f>
        <v/>
      </c>
      <c r="C85" s="60">
        <f>N(C52)+N(C53)</f>
        <v/>
      </c>
      <c r="D85" s="60">
        <f>N(D52)+N(D53)</f>
        <v/>
      </c>
      <c r="E85" s="60">
        <f>N(E52)+N(E53)</f>
        <v/>
      </c>
      <c r="F85" s="60">
        <f>N(F52)+N(F53)</f>
        <v/>
      </c>
      <c r="G85" s="60">
        <f>N(G52)+N(G53)</f>
        <v/>
      </c>
      <c r="H85" s="60">
        <f>N(H52)+N(H53)</f>
        <v/>
      </c>
      <c r="I85" s="60">
        <f>N(I52)+N(I53)</f>
        <v/>
      </c>
      <c r="J85" s="60">
        <f>N(J52)+N(J53)</f>
        <v/>
      </c>
      <c r="K85" s="60">
        <f>N(K52)+N(K53)</f>
        <v/>
      </c>
      <c r="L85" s="60">
        <f>N(L52)+N(L53)</f>
        <v/>
      </c>
      <c r="M85" s="60">
        <f>N(M52)+N(M53)</f>
        <v/>
      </c>
      <c r="N85" s="60">
        <f>N(N52)+N(N53)</f>
        <v/>
      </c>
      <c r="O85" s="39" t="inlineStr">
        <is>
          <t>Formula</t>
        </is>
      </c>
    </row>
    <row r="86">
      <c r="A86" s="3" t="inlineStr">
        <is>
          <t>Clean CFO + CFI (excl. seed-sale and insurance proceeds)</t>
        </is>
      </c>
      <c r="B86" s="35">
        <f>B50-B85</f>
        <v/>
      </c>
      <c r="C86" s="35">
        <f>C50-C85</f>
        <v/>
      </c>
      <c r="D86" s="35">
        <f>D50-D85</f>
        <v/>
      </c>
      <c r="E86" s="35">
        <f>E50-E85</f>
        <v/>
      </c>
      <c r="F86" s="35">
        <f>F50-F85</f>
        <v/>
      </c>
      <c r="G86" s="35">
        <f>G50-G85</f>
        <v/>
      </c>
      <c r="H86" s="35">
        <f>H50-H85</f>
        <v/>
      </c>
      <c r="I86" s="35">
        <f>I50-I85</f>
        <v/>
      </c>
      <c r="J86" s="35">
        <f>J50-J85</f>
        <v/>
      </c>
      <c r="K86" s="35">
        <f>K50-K85</f>
        <v/>
      </c>
      <c r="L86" s="35">
        <f>L50-L85</f>
        <v/>
      </c>
      <c r="M86" s="35">
        <f>M50-M85</f>
        <v/>
      </c>
      <c r="N86" s="35">
        <f>N50-N85</f>
        <v/>
      </c>
      <c r="O86" s="39" t="inlineStr">
        <is>
          <t>Formula</t>
        </is>
      </c>
    </row>
  </sheetData>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L9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70" customWidth="1" min="12" max="12"/>
  </cols>
  <sheetData>
    <row r="1">
      <c r="A1" s="1" t="inlineStr">
        <is>
          <t>Quarterly model: Q1'26A, Q2'26A, Q3'26E - Q4'27E (8 quarters, 2 actual)</t>
        </is>
      </c>
    </row>
    <row r="2">
      <c r="A2" s="2" t="inlineStr">
        <is>
          <t>Forecast cells are formulas on the Drivers tab (selected scenario). Actual columns link to Historical (green). USD m except per-share.</t>
        </is>
      </c>
    </row>
    <row r="4">
      <c r="A4" s="13" t="inlineStr">
        <is>
          <t>USD m</t>
        </is>
      </c>
      <c r="B4" s="14" t="inlineStr">
        <is>
          <t>Q1'26A</t>
        </is>
      </c>
      <c r="C4" s="14" t="inlineStr">
        <is>
          <t>Q2'26A</t>
        </is>
      </c>
      <c r="D4" s="14" t="inlineStr">
        <is>
          <t>Q3'26E</t>
        </is>
      </c>
      <c r="E4" s="14" t="inlineStr">
        <is>
          <t>Q4'26E</t>
        </is>
      </c>
      <c r="F4" s="14" t="inlineStr">
        <is>
          <t>Q1'27E</t>
        </is>
      </c>
      <c r="G4" s="14" t="inlineStr">
        <is>
          <t>Q2'27E</t>
        </is>
      </c>
      <c r="H4" s="14" t="inlineStr">
        <is>
          <t>Q3'27E</t>
        </is>
      </c>
      <c r="I4" s="14" t="inlineStr">
        <is>
          <t>Q4'27E</t>
        </is>
      </c>
      <c r="J4" s="14" t="inlineStr">
        <is>
          <t>FY2026E</t>
        </is>
      </c>
      <c r="K4" s="14" t="inlineStr">
        <is>
          <t>FY2027E</t>
        </is>
      </c>
      <c r="L4" s="14" t="inlineStr">
        <is>
          <t>Notes</t>
        </is>
      </c>
    </row>
    <row r="5">
      <c r="A5" s="10" t="inlineStr">
        <is>
          <t>AEROSPACE</t>
        </is>
      </c>
      <c r="B5" s="11" t="n"/>
      <c r="C5" s="11" t="n"/>
      <c r="D5" s="11" t="n"/>
      <c r="E5" s="11" t="n"/>
      <c r="F5" s="11" t="n"/>
      <c r="G5" s="11" t="n"/>
      <c r="H5" s="11" t="n"/>
      <c r="I5" s="11" t="n"/>
      <c r="J5" s="11" t="n"/>
      <c r="K5" s="11" t="n"/>
      <c r="L5" s="11" t="n"/>
    </row>
    <row r="6">
      <c r="A6" s="5" t="inlineStr">
        <is>
          <t>Modules produced / sold (units)</t>
        </is>
      </c>
      <c r="B6" s="17">
        <f>Historical!$M$41</f>
        <v/>
      </c>
      <c r="C6" s="17">
        <f>Historical!$N$41</f>
        <v/>
      </c>
      <c r="D6" s="17">
        <f>Drivers!D$31</f>
        <v/>
      </c>
      <c r="E6" s="17">
        <f>Drivers!E$31</f>
        <v/>
      </c>
      <c r="F6" s="17">
        <f>Drivers!F$31</f>
        <v/>
      </c>
      <c r="G6" s="17">
        <f>Drivers!G$31</f>
        <v/>
      </c>
      <c r="H6" s="17">
        <f>Drivers!H$31</f>
        <v/>
      </c>
      <c r="I6" s="17">
        <f>Drivers!I$31</f>
        <v/>
      </c>
      <c r="J6" s="18">
        <f>SUM(B6:E6)</f>
        <v/>
      </c>
      <c r="K6" s="18">
        <f>SUM(F6:I6)</f>
        <v/>
      </c>
      <c r="L6" s="39" t="inlineStr">
        <is>
          <t>Q1'26 modules estimated (not disclosed)</t>
        </is>
      </c>
    </row>
    <row r="7">
      <c r="A7" s="5" t="inlineStr">
        <is>
          <t>Revenue per module ($M)</t>
        </is>
      </c>
      <c r="B7" s="69">
        <f>IF(B6=0,"",B8/B6)</f>
        <v/>
      </c>
      <c r="C7" s="69">
        <f>IF(C6=0,"",C8/C6)</f>
        <v/>
      </c>
      <c r="D7" s="56">
        <f>Drivers!D$40</f>
        <v/>
      </c>
      <c r="E7" s="56">
        <f>Drivers!E$40</f>
        <v/>
      </c>
      <c r="F7" s="56">
        <f>Drivers!F$40</f>
        <v/>
      </c>
      <c r="G7" s="56">
        <f>Drivers!G$40</f>
        <v/>
      </c>
      <c r="H7" s="56">
        <f>Drivers!H$40</f>
        <v/>
      </c>
      <c r="I7" s="56">
        <f>Drivers!I$40</f>
        <v/>
      </c>
      <c r="J7" s="69">
        <f>IF(J6=0,"",J8/J6)</f>
        <v/>
      </c>
      <c r="K7" s="69">
        <f>IF(K6=0,"",K8/K6)</f>
        <v/>
      </c>
    </row>
    <row r="8">
      <c r="A8" s="5" t="inlineStr">
        <is>
          <t>Aerospace segment revenue</t>
        </is>
      </c>
      <c r="B8" s="34">
        <f>Historical!$M$14</f>
        <v/>
      </c>
      <c r="C8" s="34">
        <f>Historical!$N$14</f>
        <v/>
      </c>
      <c r="D8" s="60">
        <f>D6*D7</f>
        <v/>
      </c>
      <c r="E8" s="60">
        <f>E6*E7</f>
        <v/>
      </c>
      <c r="F8" s="60">
        <f>F6*F7</f>
        <v/>
      </c>
      <c r="G8" s="60">
        <f>G6*G7</f>
        <v/>
      </c>
      <c r="H8" s="60">
        <f>H6*H7</f>
        <v/>
      </c>
      <c r="I8" s="60">
        <f>I6*I7</f>
        <v/>
      </c>
      <c r="J8" s="60">
        <f>SUM(B8:E8)</f>
        <v/>
      </c>
      <c r="K8" s="60">
        <f>SUM(F8:I8)</f>
        <v/>
      </c>
    </row>
    <row r="9">
      <c r="A9" s="5" t="inlineStr">
        <is>
          <t xml:space="preserve">  MRE share of Aerospace revenue</t>
        </is>
      </c>
      <c r="B9" s="9">
        <f>IF(B8=0,"",B10/B8)</f>
        <v/>
      </c>
      <c r="C9" s="9">
        <f>IF(C8=0,"",C10/C8)</f>
        <v/>
      </c>
      <c r="D9" s="15">
        <f>Drivers!D$51</f>
        <v/>
      </c>
      <c r="E9" s="15">
        <f>Drivers!E$51</f>
        <v/>
      </c>
      <c r="F9" s="15">
        <f>Drivers!F$51</f>
        <v/>
      </c>
      <c r="G9" s="15">
        <f>Drivers!G$51</f>
        <v/>
      </c>
      <c r="H9" s="15">
        <f>Drivers!H$51</f>
        <v/>
      </c>
      <c r="I9" s="15">
        <f>Drivers!I$51</f>
        <v/>
      </c>
      <c r="J9" s="9">
        <f>IF(J8=0,"",J10/J8)</f>
        <v/>
      </c>
      <c r="K9" s="9">
        <f>IF(K8=0,"",K10/K8)</f>
        <v/>
      </c>
    </row>
    <row r="10">
      <c r="A10" s="5" t="inlineStr">
        <is>
          <t xml:space="preserve">  MRE Contract revenue (to 2025 Partnership)</t>
        </is>
      </c>
      <c r="B10" s="34">
        <f>Historical!$M$7</f>
        <v/>
      </c>
      <c r="C10" s="34">
        <f>Historical!$N$7</f>
        <v/>
      </c>
      <c r="D10" s="60">
        <f>D8*D9</f>
        <v/>
      </c>
      <c r="E10" s="60">
        <f>E8*E9</f>
        <v/>
      </c>
      <c r="F10" s="60">
        <f>F8*F9</f>
        <v/>
      </c>
      <c r="G10" s="60">
        <f>G8*G9</f>
        <v/>
      </c>
      <c r="H10" s="60">
        <f>H8*H9</f>
        <v/>
      </c>
      <c r="I10" s="60">
        <f>I8*I9</f>
        <v/>
      </c>
      <c r="J10" s="60">
        <f>SUM(B10:E10)</f>
        <v/>
      </c>
      <c r="K10" s="60">
        <f>SUM(F10:I10)</f>
        <v/>
      </c>
    </row>
    <row r="11">
      <c r="A11" s="5" t="inlineStr">
        <is>
          <t>EBITDA per module ($M)</t>
        </is>
      </c>
      <c r="B11" s="70">
        <f>IF(B6=0,"",B12/B6)</f>
        <v/>
      </c>
      <c r="C11" s="70">
        <f>IF(C6=0,"",C12/C6)</f>
        <v/>
      </c>
      <c r="D11" s="71">
        <f>Drivers!D$49</f>
        <v/>
      </c>
      <c r="E11" s="71">
        <f>Drivers!E$49</f>
        <v/>
      </c>
      <c r="F11" s="71">
        <f>Drivers!F$49</f>
        <v/>
      </c>
      <c r="G11" s="71">
        <f>Drivers!G$49</f>
        <v/>
      </c>
      <c r="H11" s="71">
        <f>Drivers!H$49</f>
        <v/>
      </c>
      <c r="I11" s="71">
        <f>Drivers!I$49</f>
        <v/>
      </c>
      <c r="J11" s="70">
        <f>IF(J6=0,"",J12/J6)</f>
        <v/>
      </c>
      <c r="K11" s="70">
        <f>IF(K6=0,"",K12/K6)</f>
        <v/>
      </c>
    </row>
    <row r="12">
      <c r="A12" s="3" t="inlineStr">
        <is>
          <t>Aerospace Adj. EBITDA  [KEY #1 = modules x EBITDA per module]</t>
        </is>
      </c>
      <c r="B12" s="72">
        <f>Historical!$M$33</f>
        <v/>
      </c>
      <c r="C12" s="72">
        <f>Historical!$N$33</f>
        <v/>
      </c>
      <c r="D12" s="35">
        <f>D6*D11</f>
        <v/>
      </c>
      <c r="E12" s="35">
        <f>E6*E11</f>
        <v/>
      </c>
      <c r="F12" s="35">
        <f>F6*F11</f>
        <v/>
      </c>
      <c r="G12" s="35">
        <f>G6*G11</f>
        <v/>
      </c>
      <c r="H12" s="35">
        <f>H6*H11</f>
        <v/>
      </c>
      <c r="I12" s="35">
        <f>I6*I11</f>
        <v/>
      </c>
      <c r="J12" s="35">
        <f>SUM(B12:E12)</f>
        <v/>
      </c>
      <c r="K12" s="35">
        <f>SUM(F12:I12)</f>
        <v/>
      </c>
      <c r="L12" s="39" t="inlineStr">
        <is>
          <t>KEY #1. Mgmt FY27 1,400 / Base 1,230</t>
        </is>
      </c>
    </row>
    <row r="13">
      <c r="A13" s="5" t="inlineStr">
        <is>
          <t xml:space="preserve">  Aerospace EBITDA margin</t>
        </is>
      </c>
      <c r="B13" s="9">
        <f>IF(B8=0,"",B12/B8)</f>
        <v/>
      </c>
      <c r="C13" s="9">
        <f>IF(C8=0,"",C12/C8)</f>
        <v/>
      </c>
      <c r="D13" s="9">
        <f>D12/D8</f>
        <v/>
      </c>
      <c r="E13" s="9">
        <f>E12/E8</f>
        <v/>
      </c>
      <c r="F13" s="9">
        <f>F12/F8</f>
        <v/>
      </c>
      <c r="G13" s="9">
        <f>G12/G8</f>
        <v/>
      </c>
      <c r="H13" s="9">
        <f>H12/H8</f>
        <v/>
      </c>
      <c r="I13" s="9">
        <f>I12/I8</f>
        <v/>
      </c>
      <c r="J13" s="9">
        <f>IF(J8=0,"",J12/J8)</f>
        <v/>
      </c>
      <c r="K13" s="9">
        <f>IF(K8=0,"",K12/K8)</f>
        <v/>
      </c>
    </row>
    <row r="14">
      <c r="A14" s="5" t="inlineStr">
        <is>
          <t xml:space="preserve">  Aerospace cost of sales (actual; forecast proxy = revenue less EBITDA)</t>
        </is>
      </c>
      <c r="B14" s="34">
        <f>Historical!$M$17</f>
        <v/>
      </c>
      <c r="C14" s="34">
        <f>Historical!$N$17</f>
        <v/>
      </c>
      <c r="D14" s="60">
        <f>D8-D12</f>
        <v/>
      </c>
      <c r="E14" s="60">
        <f>E8-E12</f>
        <v/>
      </c>
      <c r="F14" s="60">
        <f>F8-F12</f>
        <v/>
      </c>
      <c r="G14" s="60">
        <f>G8-G12</f>
        <v/>
      </c>
      <c r="H14" s="60">
        <f>H8-H12</f>
        <v/>
      </c>
      <c r="I14" s="60">
        <f>I8-I12</f>
        <v/>
      </c>
      <c r="J14" s="60">
        <f>SUM(B14:E14)</f>
        <v/>
      </c>
      <c r="K14" s="60">
        <f>SUM(F14:I14)</f>
        <v/>
      </c>
    </row>
    <row r="15">
      <c r="A15" s="10" t="inlineStr">
        <is>
          <t>POWER (J&amp;F JV; pro-rata Adj. EBITDA)</t>
        </is>
      </c>
      <c r="B15" s="11" t="n"/>
      <c r="C15" s="11" t="n"/>
      <c r="D15" s="11" t="n"/>
      <c r="E15" s="11" t="n"/>
      <c r="F15" s="11" t="n"/>
      <c r="G15" s="11" t="n"/>
      <c r="H15" s="11" t="n"/>
      <c r="I15" s="11" t="n"/>
      <c r="J15" s="11" t="n"/>
      <c r="K15" s="11" t="n"/>
      <c r="L15" s="11" t="n"/>
    </row>
    <row r="16">
      <c r="A16" s="5" t="inlineStr">
        <is>
          <t>Power units delivered</t>
        </is>
      </c>
      <c r="B16" s="53" t="n">
        <v>0</v>
      </c>
      <c r="C16" s="53" t="n">
        <v>0</v>
      </c>
      <c r="D16" s="17">
        <f>Drivers!D$68</f>
        <v/>
      </c>
      <c r="E16" s="17">
        <f>Drivers!E$68</f>
        <v/>
      </c>
      <c r="F16" s="17">
        <f>Drivers!F$68</f>
        <v/>
      </c>
      <c r="G16" s="17">
        <f>Drivers!G$68</f>
        <v/>
      </c>
      <c r="H16" s="17">
        <f>Drivers!H$68</f>
        <v/>
      </c>
      <c r="I16" s="17">
        <f>Drivers!I$68</f>
        <v/>
      </c>
      <c r="J16" s="18">
        <f>SUM(B16:E16)</f>
        <v/>
      </c>
      <c r="K16" s="18">
        <f>SUM(F16:I16)</f>
        <v/>
      </c>
    </row>
    <row r="17">
      <c r="A17" s="5" t="inlineStr">
        <is>
          <t>EBITDA per unit ($M)</t>
        </is>
      </c>
      <c r="D17" s="73">
        <f>Drivers!D$75</f>
        <v/>
      </c>
      <c r="E17" s="73">
        <f>Drivers!E$75</f>
        <v/>
      </c>
      <c r="F17" s="73">
        <f>Drivers!F$75</f>
        <v/>
      </c>
      <c r="G17" s="73">
        <f>Drivers!G$75</f>
        <v/>
      </c>
      <c r="H17" s="73">
        <f>Drivers!H$75</f>
        <v/>
      </c>
      <c r="I17" s="73">
        <f>Drivers!I$75</f>
        <v/>
      </c>
    </row>
    <row r="18">
      <c r="A18" s="3" t="inlineStr">
        <is>
          <t>Power Adj. EBITDA  [KEY #3 = units x EBITDA per unit]</t>
        </is>
      </c>
      <c r="B18" s="67" t="n">
        <v>0</v>
      </c>
      <c r="C18" s="67" t="n">
        <v>0</v>
      </c>
      <c r="D18" s="35">
        <f>D16*D17</f>
        <v/>
      </c>
      <c r="E18" s="35">
        <f>E16*E17</f>
        <v/>
      </c>
      <c r="F18" s="35">
        <f>F16*F17</f>
        <v/>
      </c>
      <c r="G18" s="35">
        <f>G16*G17</f>
        <v/>
      </c>
      <c r="H18" s="35">
        <f>H16*H17</f>
        <v/>
      </c>
      <c r="I18" s="35">
        <f>I16*I17</f>
        <v/>
      </c>
      <c r="J18" s="35">
        <f>SUM(B18:E18)</f>
        <v/>
      </c>
      <c r="K18" s="35">
        <f>SUM(F18:I18)</f>
        <v/>
      </c>
      <c r="L18" s="39" t="inlineStr">
        <is>
          <t>KEY #3. 2026 = 0 (first units 'prudent to expect' 2027)</t>
        </is>
      </c>
    </row>
    <row r="19">
      <c r="A19" s="5" t="inlineStr">
        <is>
          <t xml:space="preserve">  Power revenue to FTAI (memo, unverified price)</t>
        </is>
      </c>
      <c r="B19" s="40" t="n">
        <v>0</v>
      </c>
      <c r="C19" s="40" t="n">
        <v>0</v>
      </c>
      <c r="D19" s="60">
        <f>D16*Drivers!$D$77</f>
        <v/>
      </c>
      <c r="E19" s="60">
        <f>E16*Drivers!$D$77</f>
        <v/>
      </c>
      <c r="F19" s="60">
        <f>F16*Drivers!$D$77</f>
        <v/>
      </c>
      <c r="G19" s="60">
        <f>G16*Drivers!$D$77</f>
        <v/>
      </c>
      <c r="H19" s="60">
        <f>H16*Drivers!$D$77</f>
        <v/>
      </c>
      <c r="I19" s="60">
        <f>I16*Drivers!$D$77</f>
        <v/>
      </c>
      <c r="J19" s="60">
        <f>SUM(B19:E19)</f>
        <v/>
      </c>
      <c r="K19" s="60">
        <f>SUM(F19:I19)</f>
        <v/>
      </c>
    </row>
    <row r="20">
      <c r="A20" s="10" t="inlineStr">
        <is>
          <t>LEASING</t>
        </is>
      </c>
      <c r="B20" s="11" t="n"/>
      <c r="C20" s="11" t="n"/>
      <c r="D20" s="11" t="n"/>
      <c r="E20" s="11" t="n"/>
      <c r="F20" s="11" t="n"/>
      <c r="G20" s="11" t="n"/>
      <c r="H20" s="11" t="n"/>
      <c r="I20" s="11" t="n"/>
      <c r="J20" s="11" t="n"/>
      <c r="K20" s="11" t="n"/>
      <c r="L20" s="11" t="n"/>
    </row>
    <row r="21">
      <c r="A21" s="5" t="inlineStr">
        <is>
          <t>Leasing book, beginning</t>
        </is>
      </c>
      <c r="B21" s="34">
        <f>Historical!$L$64</f>
        <v/>
      </c>
      <c r="C21" s="60">
        <f>B25</f>
        <v/>
      </c>
      <c r="D21" s="60">
        <f>C25</f>
        <v/>
      </c>
      <c r="E21" s="60">
        <f>D25</f>
        <v/>
      </c>
      <c r="F21" s="60">
        <f>E25</f>
        <v/>
      </c>
      <c r="G21" s="60">
        <f>F25</f>
        <v/>
      </c>
      <c r="H21" s="60">
        <f>G25</f>
        <v/>
      </c>
      <c r="I21" s="60">
        <f>H25</f>
        <v/>
      </c>
      <c r="J21" s="60">
        <f>B21</f>
        <v/>
      </c>
      <c r="K21" s="60">
        <f>F21</f>
        <v/>
      </c>
      <c r="L21" s="39" t="inlineStr">
        <is>
          <t>Q2'26 ending book 1,146.4 is the 6/30/26 balance sheet</t>
        </is>
      </c>
    </row>
    <row r="22">
      <c r="A22" s="5" t="inlineStr">
        <is>
          <t xml:space="preserve">  less: book value sold (run-off)</t>
        </is>
      </c>
      <c r="D22" s="34">
        <f>Drivers!D$88</f>
        <v/>
      </c>
      <c r="E22" s="34">
        <f>Drivers!E$88</f>
        <v/>
      </c>
      <c r="F22" s="34">
        <f>Drivers!F$88</f>
        <v/>
      </c>
      <c r="G22" s="34">
        <f>Drivers!G$88</f>
        <v/>
      </c>
      <c r="H22" s="34">
        <f>Drivers!H$88</f>
        <v/>
      </c>
      <c r="I22" s="34">
        <f>Drivers!I$88</f>
        <v/>
      </c>
      <c r="J22" s="60">
        <f>SUM(B22:E22)</f>
        <v/>
      </c>
      <c r="K22" s="60">
        <f>SUM(F22:I22)</f>
        <v/>
      </c>
    </row>
    <row r="23">
      <c r="A23" s="5" t="inlineStr">
        <is>
          <t xml:space="preserve">  less: depreciation on book</t>
        </is>
      </c>
      <c r="D23" s="60">
        <f>Drivers!$D$129*D21</f>
        <v/>
      </c>
      <c r="E23" s="60">
        <f>Drivers!$D$129*E21</f>
        <v/>
      </c>
      <c r="F23" s="60">
        <f>Drivers!$D$129*F21</f>
        <v/>
      </c>
      <c r="G23" s="60">
        <f>Drivers!$D$129*G21</f>
        <v/>
      </c>
      <c r="H23" s="60">
        <f>Drivers!$D$129*H21</f>
        <v/>
      </c>
      <c r="I23" s="60">
        <f>Drivers!$D$129*I21</f>
        <v/>
      </c>
      <c r="J23" s="60">
        <f>SUM(B23:E23)</f>
        <v/>
      </c>
      <c r="K23" s="60">
        <f>SUM(F23:I23)</f>
        <v/>
      </c>
    </row>
    <row r="24">
      <c r="A24" s="5" t="inlineStr">
        <is>
          <t xml:space="preserve">  plus: leasing equipment acquisitions</t>
        </is>
      </c>
      <c r="B24" s="60">
        <f>-Historical!$M$54</f>
        <v/>
      </c>
      <c r="C24" s="60">
        <f>-Historical!$N$54</f>
        <v/>
      </c>
      <c r="D24" s="34">
        <f>Drivers!D$117</f>
        <v/>
      </c>
      <c r="E24" s="34">
        <f>Drivers!E$117</f>
        <v/>
      </c>
      <c r="F24" s="34">
        <f>Drivers!F$117</f>
        <v/>
      </c>
      <c r="G24" s="34">
        <f>Drivers!G$117</f>
        <v/>
      </c>
      <c r="H24" s="34">
        <f>Drivers!H$117</f>
        <v/>
      </c>
      <c r="I24" s="34">
        <f>Drivers!I$117</f>
        <v/>
      </c>
      <c r="J24" s="60">
        <f>SUM(B24:E24)</f>
        <v/>
      </c>
      <c r="K24" s="60">
        <f>SUM(F24:I24)</f>
        <v/>
      </c>
    </row>
    <row r="25">
      <c r="A25" s="5" t="inlineStr">
        <is>
          <t>Leasing book, end</t>
        </is>
      </c>
      <c r="B25" s="34">
        <f>Historical!$M$64</f>
        <v/>
      </c>
      <c r="C25" s="34">
        <f>Historical!$N$64</f>
        <v/>
      </c>
      <c r="D25" s="60">
        <f>D21-D22-D23+D24</f>
        <v/>
      </c>
      <c r="E25" s="60">
        <f>E21-E22-E23+E24</f>
        <v/>
      </c>
      <c r="F25" s="60">
        <f>F21-F22-F23+F24</f>
        <v/>
      </c>
      <c r="G25" s="60">
        <f>G21-G22-G23+G24</f>
        <v/>
      </c>
      <c r="H25" s="60">
        <f>H21-H22-H23+H24</f>
        <v/>
      </c>
      <c r="I25" s="60">
        <f>I21-I22-I23+I24</f>
        <v/>
      </c>
      <c r="J25" s="60">
        <f>E25</f>
        <v/>
      </c>
      <c r="K25" s="60">
        <f>I25</f>
        <v/>
      </c>
    </row>
    <row r="26">
      <c r="A26" s="5" t="inlineStr">
        <is>
          <t xml:space="preserve">  Lease EBITDA on beginning book (yield)</t>
        </is>
      </c>
      <c r="D26" s="60">
        <f>Drivers!$D$91/Drivers!$D$18*D21</f>
        <v/>
      </c>
      <c r="E26" s="60">
        <f>Drivers!$D$91/Drivers!$D$18*E21</f>
        <v/>
      </c>
      <c r="F26" s="60">
        <f>Drivers!$D$91/Drivers!$D$18*F21</f>
        <v/>
      </c>
      <c r="G26" s="60">
        <f>Drivers!$D$91/Drivers!$D$18*G21</f>
        <v/>
      </c>
      <c r="H26" s="60">
        <f>Drivers!$D$91/Drivers!$D$18*H21</f>
        <v/>
      </c>
      <c r="I26" s="60">
        <f>Drivers!$D$91/Drivers!$D$18*I21</f>
        <v/>
      </c>
      <c r="J26" s="60">
        <f>SUM(B26:E26)</f>
        <v/>
      </c>
      <c r="K26" s="60">
        <f>SUM(F26:I26)</f>
        <v/>
      </c>
    </row>
    <row r="27">
      <c r="A27" s="5" t="inlineStr">
        <is>
          <t xml:space="preserve">  Gains on sale (% of book sold)</t>
        </is>
      </c>
      <c r="D27" s="60">
        <f>Drivers!$D$90*D22</f>
        <v/>
      </c>
      <c r="E27" s="60">
        <f>Drivers!$D$90*E22</f>
        <v/>
      </c>
      <c r="F27" s="60">
        <f>Drivers!$D$90*F22</f>
        <v/>
      </c>
      <c r="G27" s="60">
        <f>Drivers!$D$90*G22</f>
        <v/>
      </c>
      <c r="H27" s="60">
        <f>Drivers!$D$90*H22</f>
        <v/>
      </c>
      <c r="I27" s="60">
        <f>Drivers!$D$90*I22</f>
        <v/>
      </c>
      <c r="J27" s="60">
        <f>SUM(B27:E27)</f>
        <v/>
      </c>
      <c r="K27" s="60">
        <f>SUM(F27:I27)</f>
        <v/>
      </c>
    </row>
    <row r="28">
      <c r="A28" s="5" t="inlineStr">
        <is>
          <t xml:space="preserve">  SCI AUM, end ($M)</t>
        </is>
      </c>
      <c r="C28" s="17">
        <f>Drivers!C$97</f>
        <v/>
      </c>
      <c r="D28" s="17">
        <f>Drivers!D$97</f>
        <v/>
      </c>
      <c r="E28" s="17">
        <f>Drivers!E$97</f>
        <v/>
      </c>
      <c r="F28" s="17">
        <f>Drivers!F$97</f>
        <v/>
      </c>
      <c r="G28" s="17">
        <f>Drivers!G$97</f>
        <v/>
      </c>
      <c r="H28" s="17">
        <f>Drivers!H$97</f>
        <v/>
      </c>
      <c r="I28" s="17">
        <f>Drivers!I$97</f>
        <v/>
      </c>
      <c r="J28" s="18">
        <f>E28</f>
        <v/>
      </c>
      <c r="K28" s="18">
        <f>I28</f>
        <v/>
      </c>
    </row>
    <row r="29">
      <c r="A29" s="5" t="inlineStr">
        <is>
          <t xml:space="preserve">  SCI servicing fees (grow with AUM)</t>
        </is>
      </c>
      <c r="B29" s="34">
        <f>Historical!$M$74</f>
        <v/>
      </c>
      <c r="C29" s="34">
        <f>Historical!$N$74</f>
        <v/>
      </c>
      <c r="D29" s="60">
        <f>Drivers!$D$100/Drivers!$D$18*C28</f>
        <v/>
      </c>
      <c r="E29" s="60">
        <f>Drivers!$D$100/Drivers!$D$18*D28</f>
        <v/>
      </c>
      <c r="F29" s="60">
        <f>Drivers!$D$100/Drivers!$D$18*E28</f>
        <v/>
      </c>
      <c r="G29" s="60">
        <f>Drivers!$D$100/Drivers!$D$18*F28</f>
        <v/>
      </c>
      <c r="H29" s="60">
        <f>Drivers!$D$100/Drivers!$D$18*G28</f>
        <v/>
      </c>
      <c r="I29" s="60">
        <f>Drivers!$D$100/Drivers!$D$18*H28</f>
        <v/>
      </c>
      <c r="J29" s="60">
        <f>SUM(B29:E29)</f>
        <v/>
      </c>
      <c r="K29" s="60">
        <f>SUM(F29:I29)</f>
        <v/>
      </c>
    </row>
    <row r="30">
      <c r="A30" s="5" t="inlineStr">
        <is>
          <t xml:space="preserve">  Pro-rata SCI EBITDA and co-invest returns (non-cash)</t>
        </is>
      </c>
      <c r="B30" s="34">
        <f>Drivers!$D$152</f>
        <v/>
      </c>
      <c r="C30" s="34">
        <f>Drivers!$D$152</f>
        <v/>
      </c>
      <c r="D30" s="34">
        <f>Drivers!D$106</f>
        <v/>
      </c>
      <c r="E30" s="34">
        <f>Drivers!E$106</f>
        <v/>
      </c>
      <c r="F30" s="34">
        <f>Drivers!F$106</f>
        <v/>
      </c>
      <c r="G30" s="34">
        <f>Drivers!G$106</f>
        <v/>
      </c>
      <c r="H30" s="34">
        <f>Drivers!H$106</f>
        <v/>
      </c>
      <c r="I30" s="34">
        <f>Drivers!I$106</f>
        <v/>
      </c>
      <c r="J30" s="60">
        <f>SUM(B30:E30)</f>
        <v/>
      </c>
      <c r="K30" s="60">
        <f>SUM(F30:I30)</f>
        <v/>
      </c>
    </row>
    <row r="31">
      <c r="A31" s="5" t="inlineStr">
        <is>
          <t xml:space="preserve">  Insurance recoveries</t>
        </is>
      </c>
      <c r="D31" s="34">
        <f>Drivers!D$108</f>
        <v/>
      </c>
      <c r="E31" s="34">
        <f>Drivers!E$108</f>
        <v/>
      </c>
      <c r="F31" s="34">
        <f>Drivers!F$108</f>
        <v/>
      </c>
      <c r="G31" s="34">
        <f>Drivers!G$108</f>
        <v/>
      </c>
      <c r="H31" s="34">
        <f>Drivers!H$108</f>
        <v/>
      </c>
      <c r="I31" s="34">
        <f>Drivers!I$108</f>
        <v/>
      </c>
      <c r="J31" s="60">
        <f>SUM(B31:E31)</f>
        <v/>
      </c>
      <c r="K31" s="60">
        <f>SUM(F31:I31)</f>
        <v/>
      </c>
    </row>
    <row r="32">
      <c r="A32" s="3" t="inlineStr">
        <is>
          <t>Leasing Adj. EBITDA</t>
        </is>
      </c>
      <c r="B32" s="72">
        <f>Historical!$M$34</f>
        <v/>
      </c>
      <c r="C32" s="72">
        <f>Historical!$N$34</f>
        <v/>
      </c>
      <c r="D32" s="35">
        <f>D26+D27+D29+D30+D31</f>
        <v/>
      </c>
      <c r="E32" s="35">
        <f>E26+E27+E29+E30+E31</f>
        <v/>
      </c>
      <c r="F32" s="35">
        <f>F26+F27+F29+F30+F31</f>
        <v/>
      </c>
      <c r="G32" s="35">
        <f>G26+G27+G29+G30+G31</f>
        <v/>
      </c>
      <c r="H32" s="35">
        <f>H26+H27+H29+H30+H31</f>
        <v/>
      </c>
      <c r="I32" s="35">
        <f>I26+I27+I29+I30+I31</f>
        <v/>
      </c>
      <c r="J32" s="35">
        <f>SUM(B32:E32)</f>
        <v/>
      </c>
      <c r="K32" s="35">
        <f>SUM(F32:I32)</f>
        <v/>
      </c>
    </row>
    <row r="33">
      <c r="A33" s="5" t="inlineStr">
        <is>
          <t xml:space="preserve">  Leasing segment revenue</t>
        </is>
      </c>
      <c r="B33" s="34">
        <f>Historical!$M$15</f>
        <v/>
      </c>
      <c r="C33" s="34">
        <f>Historical!$N$15</f>
        <v/>
      </c>
      <c r="D33" s="60">
        <f>D32*Drivers!$D$122</f>
        <v/>
      </c>
      <c r="E33" s="60">
        <f>E32*Drivers!$D$122</f>
        <v/>
      </c>
      <c r="F33" s="60">
        <f>F32*Drivers!$D$122</f>
        <v/>
      </c>
      <c r="G33" s="60">
        <f>G32*Drivers!$D$122</f>
        <v/>
      </c>
      <c r="H33" s="60">
        <f>H32*Drivers!$D$122</f>
        <v/>
      </c>
      <c r="I33" s="60">
        <f>I32*Drivers!$D$122</f>
        <v/>
      </c>
      <c r="J33" s="60">
        <f>SUM(B33:E33)</f>
        <v/>
      </c>
      <c r="K33" s="60">
        <f>SUM(F33:I33)</f>
        <v/>
      </c>
    </row>
    <row r="34">
      <c r="A34" s="10" t="inlineStr">
        <is>
          <t>CORPORATE AND TOTALS</t>
        </is>
      </c>
      <c r="B34" s="11" t="n"/>
      <c r="C34" s="11" t="n"/>
      <c r="D34" s="11" t="n"/>
      <c r="E34" s="11" t="n"/>
      <c r="F34" s="11" t="n"/>
      <c r="G34" s="11" t="n"/>
      <c r="H34" s="11" t="n"/>
      <c r="I34" s="11" t="n"/>
      <c r="J34" s="11" t="n"/>
      <c r="K34" s="11" t="n"/>
      <c r="L34" s="11" t="n"/>
    </row>
    <row r="35">
      <c r="A35" s="5" t="inlineStr">
        <is>
          <t>Corporate and Other EBITDA</t>
        </is>
      </c>
      <c r="B35" s="34">
        <f>Historical!$M$35</f>
        <v/>
      </c>
      <c r="C35" s="34">
        <f>Historical!$N$35</f>
        <v/>
      </c>
      <c r="D35" s="34">
        <f>Drivers!D$125</f>
        <v/>
      </c>
      <c r="E35" s="34">
        <f>Drivers!E$125</f>
        <v/>
      </c>
      <c r="F35" s="34">
        <f>Drivers!F$125</f>
        <v/>
      </c>
      <c r="G35" s="34">
        <f>Drivers!G$125</f>
        <v/>
      </c>
      <c r="H35" s="34">
        <f>Drivers!H$125</f>
        <v/>
      </c>
      <c r="I35" s="34">
        <f>Drivers!I$125</f>
        <v/>
      </c>
      <c r="J35" s="60">
        <f>SUM(B35:E35)</f>
        <v/>
      </c>
      <c r="K35" s="60">
        <f>SUM(F35:I35)</f>
        <v/>
      </c>
    </row>
    <row r="36">
      <c r="A36" s="5" t="inlineStr">
        <is>
          <t>Eliminations (profit on sales to 2025 Partnership)</t>
        </is>
      </c>
      <c r="B36" s="34">
        <f>Historical!$M$36</f>
        <v/>
      </c>
      <c r="C36" s="34">
        <f>Historical!$N$36</f>
        <v/>
      </c>
      <c r="D36" s="60">
        <f>-Drivers!$D$127*D10</f>
        <v/>
      </c>
      <c r="E36" s="60">
        <f>-Drivers!$D$127*E10</f>
        <v/>
      </c>
      <c r="F36" s="60">
        <f>-Drivers!$D$127*F10</f>
        <v/>
      </c>
      <c r="G36" s="60">
        <f>-Drivers!$D$127*G10</f>
        <v/>
      </c>
      <c r="H36" s="60">
        <f>-Drivers!$D$127*H10</f>
        <v/>
      </c>
      <c r="I36" s="60">
        <f>-Drivers!$D$127*I10</f>
        <v/>
      </c>
      <c r="J36" s="60">
        <f>SUM(B36:E36)</f>
        <v/>
      </c>
      <c r="K36" s="60">
        <f>SUM(F36:I36)</f>
        <v/>
      </c>
    </row>
    <row r="37">
      <c r="A37" s="3" t="inlineStr">
        <is>
          <t>Total Adjusted EBITDA (company basis)</t>
        </is>
      </c>
      <c r="B37" s="35">
        <f>B12+B18+B32+B35+B36</f>
        <v/>
      </c>
      <c r="C37" s="35">
        <f>C12+C18+C32+C35+C36</f>
        <v/>
      </c>
      <c r="D37" s="35">
        <f>D12+D18+D32+D35+D36</f>
        <v/>
      </c>
      <c r="E37" s="35">
        <f>E12+E18+E32+E35+E36</f>
        <v/>
      </c>
      <c r="F37" s="35">
        <f>F12+F18+F32+F35+F36</f>
        <v/>
      </c>
      <c r="G37" s="35">
        <f>G12+G18+G32+G35+G36</f>
        <v/>
      </c>
      <c r="H37" s="35">
        <f>H12+H18+H32+H35+H36</f>
        <v/>
      </c>
      <c r="I37" s="35">
        <f>I12+I18+I32+I35+I36</f>
        <v/>
      </c>
      <c r="J37" s="35">
        <f>SUM(B37:E37)</f>
        <v/>
      </c>
      <c r="K37" s="35">
        <f>SUM(F37:I37)</f>
        <v/>
      </c>
    </row>
    <row r="38">
      <c r="A38" s="3" t="inlineStr">
        <is>
          <t>Segment-basis EBITDA (Aero + Power + Leasing; guide basis)</t>
        </is>
      </c>
      <c r="B38" s="35">
        <f>B12+B18+B32</f>
        <v/>
      </c>
      <c r="C38" s="35">
        <f>C12+C18+C32</f>
        <v/>
      </c>
      <c r="D38" s="35">
        <f>D12+D18+D32</f>
        <v/>
      </c>
      <c r="E38" s="35">
        <f>E12+E18+E32</f>
        <v/>
      </c>
      <c r="F38" s="35">
        <f>F12+F18+F32</f>
        <v/>
      </c>
      <c r="G38" s="35">
        <f>G12+G18+G32</f>
        <v/>
      </c>
      <c r="H38" s="35">
        <f>H12+H18+H32</f>
        <v/>
      </c>
      <c r="I38" s="35">
        <f>I12+I18+I32</f>
        <v/>
      </c>
      <c r="J38" s="35">
        <f>SUM(B38:E38)</f>
        <v/>
      </c>
      <c r="K38" s="35">
        <f>SUM(F38:I38)</f>
        <v/>
      </c>
      <c r="L38" s="39" t="inlineStr">
        <is>
          <t>Ties to guide: FY26 1,525 / FY27 2,300 in Mgmt Guide scenario</t>
        </is>
      </c>
    </row>
    <row r="39">
      <c r="A39" s="5" t="inlineStr">
        <is>
          <t>Total revenues</t>
        </is>
      </c>
      <c r="B39" s="34">
        <f>Historical!$M$12</f>
        <v/>
      </c>
      <c r="C39" s="34">
        <f>Historical!$N$12</f>
        <v/>
      </c>
      <c r="D39" s="60">
        <f>D8+D19+D33</f>
        <v/>
      </c>
      <c r="E39" s="60">
        <f>E8+E19+E33</f>
        <v/>
      </c>
      <c r="F39" s="60">
        <f>F8+F19+F33</f>
        <v/>
      </c>
      <c r="G39" s="60">
        <f>G8+G19+G33</f>
        <v/>
      </c>
      <c r="H39" s="60">
        <f>H8+H19+H33</f>
        <v/>
      </c>
      <c r="I39" s="60">
        <f>I8+I19+I33</f>
        <v/>
      </c>
      <c r="J39" s="60">
        <f>SUM(B39:E39)</f>
        <v/>
      </c>
      <c r="K39" s="60">
        <f>SUM(F39:I39)</f>
        <v/>
      </c>
    </row>
    <row r="40">
      <c r="A40" s="5" t="inlineStr">
        <is>
          <t xml:space="preserve">  Adj. EBITDA margin on revenue</t>
        </is>
      </c>
      <c r="B40" s="9">
        <f>IF(B39=0,"",B37/B39)</f>
        <v/>
      </c>
      <c r="C40" s="9">
        <f>IF(C39=0,"",C37/C39)</f>
        <v/>
      </c>
      <c r="D40" s="9">
        <f>D37/D39</f>
        <v/>
      </c>
      <c r="E40" s="9">
        <f>E37/E39</f>
        <v/>
      </c>
      <c r="F40" s="9">
        <f>F37/F39</f>
        <v/>
      </c>
      <c r="G40" s="9">
        <f>G37/G39</f>
        <v/>
      </c>
      <c r="H40" s="9">
        <f>H37/H39</f>
        <v/>
      </c>
      <c r="I40" s="9">
        <f>I37/I39</f>
        <v/>
      </c>
      <c r="J40" s="9">
        <f>IF(J39=0,"",J37/J39)</f>
        <v/>
      </c>
      <c r="K40" s="9">
        <f>IF(K39=0,"",K37/K39)</f>
        <v/>
      </c>
    </row>
    <row r="41">
      <c r="A41" s="10" t="inlineStr">
        <is>
          <t>EPS BRIDGE</t>
        </is>
      </c>
      <c r="B41" s="11" t="n"/>
      <c r="C41" s="11" t="n"/>
      <c r="D41" s="11" t="n"/>
      <c r="E41" s="11" t="n"/>
      <c r="F41" s="11" t="n"/>
      <c r="G41" s="11" t="n"/>
      <c r="H41" s="11" t="n"/>
      <c r="I41" s="11" t="n"/>
      <c r="J41" s="11" t="n"/>
      <c r="K41" s="11" t="n"/>
      <c r="L41" s="11" t="n"/>
    </row>
    <row r="42">
      <c r="A42" s="5" t="inlineStr">
        <is>
          <t>Total Adjusted EBITDA</t>
        </is>
      </c>
      <c r="B42" s="60">
        <f>B37</f>
        <v/>
      </c>
      <c r="C42" s="60">
        <f>C37</f>
        <v/>
      </c>
      <c r="D42" s="60">
        <f>D37</f>
        <v/>
      </c>
      <c r="E42" s="60">
        <f>E37</f>
        <v/>
      </c>
      <c r="F42" s="60">
        <f>F37</f>
        <v/>
      </c>
      <c r="G42" s="60">
        <f>G37</f>
        <v/>
      </c>
      <c r="H42" s="60">
        <f>H37</f>
        <v/>
      </c>
      <c r="I42" s="60">
        <f>I37</f>
        <v/>
      </c>
      <c r="J42" s="60">
        <f>SUM(B42:E42)</f>
        <v/>
      </c>
      <c r="K42" s="60">
        <f>SUM(F42:I42)</f>
        <v/>
      </c>
    </row>
    <row r="43">
      <c r="A43" s="5" t="inlineStr">
        <is>
          <t>less: D&amp;A (leasing book + Aerospace capex base)</t>
        </is>
      </c>
      <c r="B43" s="34">
        <f>Historical!$M$21</f>
        <v/>
      </c>
      <c r="C43" s="34">
        <f>Historical!$N$21</f>
        <v/>
      </c>
      <c r="D43" s="60">
        <f>D23+D44</f>
        <v/>
      </c>
      <c r="E43" s="60">
        <f>E23+E44</f>
        <v/>
      </c>
      <c r="F43" s="60">
        <f>F23+F44</f>
        <v/>
      </c>
      <c r="G43" s="60">
        <f>G23+G44</f>
        <v/>
      </c>
      <c r="H43" s="60">
        <f>H23+H44</f>
        <v/>
      </c>
      <c r="I43" s="60">
        <f>I23+I44</f>
        <v/>
      </c>
      <c r="J43" s="60">
        <f>SUM(B43:E43)</f>
        <v/>
      </c>
      <c r="K43" s="60">
        <f>SUM(F43:I43)</f>
        <v/>
      </c>
    </row>
    <row r="44">
      <c r="A44" s="5" t="inlineStr">
        <is>
          <t xml:space="preserve">  memo: other (non-leasing) D&amp;A</t>
        </is>
      </c>
      <c r="C44" s="34">
        <f>Drivers!$D$128</f>
        <v/>
      </c>
      <c r="D44" s="60">
        <f>C44+D45/(Drivers!$D$130*Drivers!$D$18)</f>
        <v/>
      </c>
      <c r="E44" s="60">
        <f>D44+E45/(Drivers!$D$130*Drivers!$D$18)</f>
        <v/>
      </c>
      <c r="F44" s="60">
        <f>E44+F45/(Drivers!$D$130*Drivers!$D$18)</f>
        <v/>
      </c>
      <c r="G44" s="60">
        <f>F44+G45/(Drivers!$D$130*Drivers!$D$18)</f>
        <v/>
      </c>
      <c r="H44" s="60">
        <f>G44+H45/(Drivers!$D$130*Drivers!$D$18)</f>
        <v/>
      </c>
      <c r="I44" s="60">
        <f>H44+I45/(Drivers!$D$130*Drivers!$D$18)</f>
        <v/>
      </c>
      <c r="K44" s="60">
        <f>SUM(F44:I44)</f>
        <v/>
      </c>
    </row>
    <row r="45">
      <c r="A45" s="5" t="inlineStr">
        <is>
          <t xml:space="preserve">  memo: PP&amp;E capex</t>
        </is>
      </c>
      <c r="B45" s="60">
        <f>-Historical!$M$56</f>
        <v/>
      </c>
      <c r="C45" s="60">
        <f>-Historical!$N$56</f>
        <v/>
      </c>
      <c r="D45" s="34">
        <f>Drivers!D$131</f>
        <v/>
      </c>
      <c r="E45" s="34">
        <f>Drivers!E$131</f>
        <v/>
      </c>
      <c r="F45" s="34">
        <f>Drivers!F$131</f>
        <v/>
      </c>
      <c r="G45" s="34">
        <f>Drivers!G$131</f>
        <v/>
      </c>
      <c r="H45" s="34">
        <f>Drivers!H$131</f>
        <v/>
      </c>
      <c r="I45" s="34">
        <f>Drivers!I$131</f>
        <v/>
      </c>
      <c r="J45" s="60">
        <f>SUM(B45:E45)</f>
        <v/>
      </c>
      <c r="K45" s="60">
        <f>SUM(F45:I45)</f>
        <v/>
      </c>
    </row>
    <row r="46">
      <c r="A46" s="5" t="inlineStr">
        <is>
          <t>less: interest expense (debt schedule)</t>
        </is>
      </c>
      <c r="B46" s="34">
        <f>Historical!$M$22</f>
        <v/>
      </c>
      <c r="C46" s="34">
        <f>Historical!$N$22</f>
        <v/>
      </c>
      <c r="D46" s="60">
        <f>Drivers!$D$150/Drivers!$D$18+Drivers!$D$151+C83*Drivers!$D$141/Drivers!$D$18</f>
        <v/>
      </c>
      <c r="E46" s="60">
        <f>Drivers!$D$150/Drivers!$D$18+Drivers!$D$151+D83*Drivers!$D$141/Drivers!$D$18</f>
        <v/>
      </c>
      <c r="F46" s="60">
        <f>Drivers!$D$150/Drivers!$D$18+Drivers!$D$151+E83*Drivers!$D$141/Drivers!$D$18</f>
        <v/>
      </c>
      <c r="G46" s="60">
        <f>Drivers!$D$150/Drivers!$D$18+Drivers!$D$151+F83*Drivers!$D$141/Drivers!$D$18</f>
        <v/>
      </c>
      <c r="H46" s="60">
        <f>Drivers!$D$150/Drivers!$D$18+Drivers!$D$151+G83*Drivers!$D$141/Drivers!$D$18</f>
        <v/>
      </c>
      <c r="I46" s="60">
        <f>Drivers!$D$150/Drivers!$D$18+Drivers!$D$151+H83*Drivers!$D$141/Drivers!$D$18</f>
        <v/>
      </c>
      <c r="J46" s="60">
        <f>SUM(B46:E46)</f>
        <v/>
      </c>
      <c r="K46" s="60">
        <f>SUM(F46:I46)</f>
        <v/>
      </c>
    </row>
    <row r="47" ht="23" customHeight="1">
      <c r="A47" s="5" t="inlineStr">
        <is>
          <t>less: EBITDA-to-pretax adjustments (SCI/Power pro-rata not in pretax, SBC, other)</t>
        </is>
      </c>
      <c r="B47" s="60">
        <f>B48-(B37-B43-B46)</f>
        <v/>
      </c>
      <c r="C47" s="60">
        <f>C48-(C37-C43-C46)</f>
        <v/>
      </c>
      <c r="D47" s="60">
        <f>-(D30*(1-Drivers!$D$153)+Drivers!$D$154+(1-Drivers!$D$80)*D18)</f>
        <v/>
      </c>
      <c r="E47" s="60">
        <f>-(E30*(1-Drivers!$D$153)+Drivers!$D$154+(1-Drivers!$D$80)*E18)</f>
        <v/>
      </c>
      <c r="F47" s="60">
        <f>-(F30*(1-Drivers!$D$153)+Drivers!$D$154+(1-Drivers!$D$80)*F18)</f>
        <v/>
      </c>
      <c r="G47" s="60">
        <f>-(G30*(1-Drivers!$D$153)+Drivers!$D$154+(1-Drivers!$D$80)*G18)</f>
        <v/>
      </c>
      <c r="H47" s="60">
        <f>-(H30*(1-Drivers!$D$153)+Drivers!$D$154+(1-Drivers!$D$80)*H18)</f>
        <v/>
      </c>
      <c r="I47" s="60">
        <f>-(I30*(1-Drivers!$D$153)+Drivers!$D$154+(1-Drivers!$D$80)*I18)</f>
        <v/>
      </c>
      <c r="J47" s="60">
        <f>SUM(B47:E47)</f>
        <v/>
      </c>
      <c r="K47" s="60">
        <f>SUM(F47:I47)</f>
        <v/>
      </c>
      <c r="L47" s="39" t="inlineStr">
        <is>
          <t>Actual = reported pretax less (EBITDA - D&amp;A - interest); calibration 1H26 on Drivers tab</t>
        </is>
      </c>
    </row>
    <row r="48">
      <c r="A48" s="3" t="inlineStr">
        <is>
          <t>Pre-tax income</t>
        </is>
      </c>
      <c r="B48" s="72">
        <f>Historical!$M$25</f>
        <v/>
      </c>
      <c r="C48" s="72">
        <f>Historical!$N$25</f>
        <v/>
      </c>
      <c r="D48" s="35">
        <f>D37-D43-D46+D47</f>
        <v/>
      </c>
      <c r="E48" s="35">
        <f>E37-E43-E46+E47</f>
        <v/>
      </c>
      <c r="F48" s="35">
        <f>F37-F43-F46+F47</f>
        <v/>
      </c>
      <c r="G48" s="35">
        <f>G37-G43-G46+G47</f>
        <v/>
      </c>
      <c r="H48" s="35">
        <f>H37-H43-H46+H47</f>
        <v/>
      </c>
      <c r="I48" s="35">
        <f>I37-I43-I46+I47</f>
        <v/>
      </c>
      <c r="J48" s="35">
        <f>SUM(B48:E48)</f>
        <v/>
      </c>
      <c r="K48" s="35">
        <f>SUM(F48:I48)</f>
        <v/>
      </c>
    </row>
    <row r="49">
      <c r="A49" s="5" t="inlineStr">
        <is>
          <t>Income taxes</t>
        </is>
      </c>
      <c r="B49" s="34">
        <f>Historical!$M$26</f>
        <v/>
      </c>
      <c r="C49" s="34">
        <f>Historical!$N$26</f>
        <v/>
      </c>
      <c r="D49" s="60">
        <f>D48*Drivers!$D$133</f>
        <v/>
      </c>
      <c r="E49" s="60">
        <f>E48*Drivers!$D$133</f>
        <v/>
      </c>
      <c r="F49" s="60">
        <f>F48*Drivers!$D$133</f>
        <v/>
      </c>
      <c r="G49" s="60">
        <f>G48*Drivers!$D$133</f>
        <v/>
      </c>
      <c r="H49" s="60">
        <f>H48*Drivers!$D$133</f>
        <v/>
      </c>
      <c r="I49" s="60">
        <f>I48*Drivers!$D$133</f>
        <v/>
      </c>
      <c r="J49" s="60">
        <f>SUM(B49:E49)</f>
        <v/>
      </c>
      <c r="K49" s="60">
        <f>SUM(F49:I49)</f>
        <v/>
      </c>
    </row>
    <row r="50">
      <c r="A50" s="5" t="inlineStr">
        <is>
          <t>Net income</t>
        </is>
      </c>
      <c r="B50" s="34">
        <f>Historical!$M$27</f>
        <v/>
      </c>
      <c r="C50" s="34">
        <f>Historical!$N$27</f>
        <v/>
      </c>
      <c r="D50" s="60">
        <f>D48-D49</f>
        <v/>
      </c>
      <c r="E50" s="60">
        <f>E48-E49</f>
        <v/>
      </c>
      <c r="F50" s="60">
        <f>F48-F49</f>
        <v/>
      </c>
      <c r="G50" s="60">
        <f>G48-G49</f>
        <v/>
      </c>
      <c r="H50" s="60">
        <f>H48-H49</f>
        <v/>
      </c>
      <c r="I50" s="60">
        <f>I48-I49</f>
        <v/>
      </c>
      <c r="J50" s="60">
        <f>SUM(B50:E50)</f>
        <v/>
      </c>
      <c r="K50" s="60">
        <f>SUM(F50:I50)</f>
        <v/>
      </c>
    </row>
    <row r="51">
      <c r="A51" s="5" t="inlineStr">
        <is>
          <t>less: preferred dividends and NCI</t>
        </is>
      </c>
      <c r="B51" s="34">
        <f>Historical!$M$29</f>
        <v/>
      </c>
      <c r="C51" s="34">
        <f>Historical!$N$29</f>
        <v/>
      </c>
      <c r="D51" s="34">
        <f>Drivers!$D$134</f>
        <v/>
      </c>
      <c r="E51" s="34">
        <f>Drivers!$D$134</f>
        <v/>
      </c>
      <c r="F51" s="34">
        <f>Drivers!$D$134</f>
        <v/>
      </c>
      <c r="G51" s="34">
        <f>Drivers!$D$134</f>
        <v/>
      </c>
      <c r="H51" s="34">
        <f>Drivers!$D$134</f>
        <v/>
      </c>
      <c r="I51" s="34">
        <f>Drivers!$D$134</f>
        <v/>
      </c>
      <c r="J51" s="60">
        <f>SUM(B51:E51)</f>
        <v/>
      </c>
      <c r="K51" s="60">
        <f>SUM(F51:I51)</f>
        <v/>
      </c>
    </row>
    <row r="52">
      <c r="A52" s="3" t="inlineStr">
        <is>
          <t>Net income attributable to common</t>
        </is>
      </c>
      <c r="B52" s="72">
        <f>Historical!$M$28</f>
        <v/>
      </c>
      <c r="C52" s="72">
        <f>Historical!$N$28</f>
        <v/>
      </c>
      <c r="D52" s="35">
        <f>D50-D51</f>
        <v/>
      </c>
      <c r="E52" s="35">
        <f>E50-E51</f>
        <v/>
      </c>
      <c r="F52" s="35">
        <f>F50-F51</f>
        <v/>
      </c>
      <c r="G52" s="35">
        <f>G50-G51</f>
        <v/>
      </c>
      <c r="H52" s="35">
        <f>H50-H51</f>
        <v/>
      </c>
      <c r="I52" s="35">
        <f>I50-I51</f>
        <v/>
      </c>
      <c r="J52" s="35">
        <f>SUM(B52:E52)</f>
        <v/>
      </c>
      <c r="K52" s="35">
        <f>SUM(F52:I52)</f>
        <v/>
      </c>
    </row>
    <row r="53">
      <c r="A53" s="5" t="inlineStr">
        <is>
          <t>Diluted shares (M)</t>
        </is>
      </c>
      <c r="B53" s="56">
        <f>Historical!$M$31</f>
        <v/>
      </c>
      <c r="C53" s="56">
        <f>Historical!$N$31</f>
        <v/>
      </c>
      <c r="D53" s="69">
        <f>Drivers!$D$135-Drivers!$D$136*Drivers!$D$137/Drivers!$D$138/Drivers!$D$180</f>
        <v/>
      </c>
      <c r="E53" s="69">
        <f>D53-Drivers!$D$136*Drivers!$D$137/Drivers!$D$138/Drivers!$D$180</f>
        <v/>
      </c>
      <c r="F53" s="69">
        <f>E53-Drivers!$D$136*Drivers!$D$137/Drivers!$D$138/Drivers!$D$180</f>
        <v/>
      </c>
      <c r="G53" s="69">
        <f>F53-Drivers!$D$136*Drivers!$D$137/Drivers!$D$138/Drivers!$D$180</f>
        <v/>
      </c>
      <c r="H53" s="69">
        <f>G53-Drivers!$D$136*Drivers!$D$137/Drivers!$D$138/Drivers!$D$180</f>
        <v/>
      </c>
      <c r="I53" s="69">
        <f>H53-Drivers!$D$136*Drivers!$D$137/Drivers!$D$138/Drivers!$D$180</f>
        <v/>
      </c>
      <c r="J53" s="69">
        <f>AVERAGE(B53:E53)</f>
        <v/>
      </c>
      <c r="K53" s="69">
        <f>AVERAGE(F53:I53)</f>
        <v/>
      </c>
      <c r="L53" s="39" t="inlineStr">
        <is>
          <t>Buyback toggle default OFF</t>
        </is>
      </c>
    </row>
    <row r="54">
      <c r="A54" s="3" t="inlineStr">
        <is>
          <t>Diluted EPS ($)</t>
        </is>
      </c>
      <c r="B54" s="7">
        <f>Historical!$M$30</f>
        <v/>
      </c>
      <c r="C54" s="7">
        <f>Historical!$N$30</f>
        <v/>
      </c>
      <c r="D54" s="20">
        <f>D52/D53</f>
        <v/>
      </c>
      <c r="E54" s="20">
        <f>E52/E53</f>
        <v/>
      </c>
      <c r="F54" s="20">
        <f>F52/F53</f>
        <v/>
      </c>
      <c r="G54" s="20">
        <f>G52/G53</f>
        <v/>
      </c>
      <c r="H54" s="20">
        <f>H52/H53</f>
        <v/>
      </c>
      <c r="I54" s="20">
        <f>I52/I53</f>
        <v/>
      </c>
      <c r="J54" s="20">
        <f>J52/J53</f>
        <v/>
      </c>
      <c r="K54" s="20">
        <f>K52/K53</f>
        <v/>
      </c>
      <c r="L54" s="39" t="inlineStr">
        <is>
          <t>Actual = reported diluted EPS</t>
        </is>
      </c>
    </row>
    <row r="55">
      <c r="A55" s="10" t="inlineStr">
        <is>
          <t>CASH FLOW BUILD (CFO + CFI, GAAP classification combined)</t>
        </is>
      </c>
      <c r="B55" s="11" t="n"/>
      <c r="C55" s="11" t="n"/>
      <c r="D55" s="11" t="n"/>
      <c r="E55" s="11" t="n"/>
      <c r="F55" s="11" t="n"/>
      <c r="G55" s="11" t="n"/>
      <c r="H55" s="11" t="n"/>
      <c r="I55" s="11" t="n"/>
      <c r="J55" s="11" t="n"/>
      <c r="K55" s="11" t="n"/>
      <c r="L55" s="11" t="n"/>
    </row>
    <row r="56">
      <c r="A56" s="5" t="inlineStr">
        <is>
          <t>Total Adjusted EBITDA</t>
        </is>
      </c>
      <c r="D56" s="60">
        <f>D37</f>
        <v/>
      </c>
      <c r="E56" s="60">
        <f>E37</f>
        <v/>
      </c>
      <c r="F56" s="60">
        <f>F37</f>
        <v/>
      </c>
      <c r="G56" s="60">
        <f>G37</f>
        <v/>
      </c>
      <c r="H56" s="60">
        <f>H37</f>
        <v/>
      </c>
      <c r="I56" s="60">
        <f>I37</f>
        <v/>
      </c>
      <c r="J56" s="60">
        <f>SUM(B56:E56)</f>
        <v/>
      </c>
      <c r="K56" s="60">
        <f>SUM(F56:I56)</f>
        <v/>
      </c>
    </row>
    <row r="57">
      <c r="A57" s="5" t="inlineStr">
        <is>
          <t>less: gains in EBITDA (proceeds sit in CFI)</t>
        </is>
      </c>
      <c r="D57" s="60">
        <f>-(D27+D31)</f>
        <v/>
      </c>
      <c r="E57" s="60">
        <f>-(E27+E31)</f>
        <v/>
      </c>
      <c r="F57" s="60">
        <f>-(F27+F31)</f>
        <v/>
      </c>
      <c r="G57" s="60">
        <f>-(G27+G31)</f>
        <v/>
      </c>
      <c r="H57" s="60">
        <f>-(H27+H31)</f>
        <v/>
      </c>
      <c r="I57" s="60">
        <f>-(I27+I31)</f>
        <v/>
      </c>
      <c r="J57" s="60">
        <f>SUM(B57:E57)</f>
        <v/>
      </c>
      <c r="K57" s="60">
        <f>SUM(F57:I57)</f>
        <v/>
      </c>
    </row>
    <row r="58">
      <c r="A58" s="5" t="inlineStr">
        <is>
          <t>less: pro-rata SCI EBITDA (non-cash)</t>
        </is>
      </c>
      <c r="D58" s="60">
        <f>-D30</f>
        <v/>
      </c>
      <c r="E58" s="60">
        <f>-E30</f>
        <v/>
      </c>
      <c r="F58" s="60">
        <f>-F30</f>
        <v/>
      </c>
      <c r="G58" s="60">
        <f>-G30</f>
        <v/>
      </c>
      <c r="H58" s="60">
        <f>-H30</f>
        <v/>
      </c>
      <c r="I58" s="60">
        <f>-I30</f>
        <v/>
      </c>
      <c r="J58" s="60">
        <f>SUM(B58:E58)</f>
        <v/>
      </c>
      <c r="K58" s="60">
        <f>SUM(F58:I58)</f>
        <v/>
      </c>
    </row>
    <row r="59">
      <c r="A59" s="5" t="inlineStr">
        <is>
          <t>plus: SCI cash distributions (return of capital)</t>
        </is>
      </c>
      <c r="D59" s="60">
        <f>Drivers!$D$119*D30</f>
        <v/>
      </c>
      <c r="E59" s="60">
        <f>Drivers!$D$119*E30</f>
        <v/>
      </c>
      <c r="F59" s="60">
        <f>Drivers!$D$119*F30</f>
        <v/>
      </c>
      <c r="G59" s="60">
        <f>Drivers!$D$119*G30</f>
        <v/>
      </c>
      <c r="H59" s="60">
        <f>Drivers!$D$119*H30</f>
        <v/>
      </c>
      <c r="I59" s="60">
        <f>Drivers!$D$119*I30</f>
        <v/>
      </c>
      <c r="J59" s="60">
        <f>SUM(B59:E59)</f>
        <v/>
      </c>
      <c r="K59" s="60">
        <f>SUM(F59:I59)</f>
        <v/>
      </c>
    </row>
    <row r="60">
      <c r="A60" s="5" t="inlineStr">
        <is>
          <t>less: Power EBITDA not converted to cash</t>
        </is>
      </c>
      <c r="D60" s="60">
        <f>-(1-Drivers!$D$79)*D18</f>
        <v/>
      </c>
      <c r="E60" s="60">
        <f>-(1-Drivers!$D$79)*E18</f>
        <v/>
      </c>
      <c r="F60" s="60">
        <f>-(1-Drivers!$D$79)*F18</f>
        <v/>
      </c>
      <c r="G60" s="60">
        <f>-(1-Drivers!$D$79)*G18</f>
        <v/>
      </c>
      <c r="H60" s="60">
        <f>-(1-Drivers!$D$79)*H18</f>
        <v/>
      </c>
      <c r="I60" s="60">
        <f>-(1-Drivers!$D$79)*I18</f>
        <v/>
      </c>
      <c r="J60" s="60">
        <f>SUM(B60:E60)</f>
        <v/>
      </c>
      <c r="K60" s="60">
        <f>SUM(F60:I60)</f>
        <v/>
      </c>
    </row>
    <row r="61">
      <c r="A61" s="5" t="inlineStr">
        <is>
          <t>less: cash interest</t>
        </is>
      </c>
      <c r="D61" s="60">
        <f>-D46</f>
        <v/>
      </c>
      <c r="E61" s="60">
        <f>-E46</f>
        <v/>
      </c>
      <c r="F61" s="60">
        <f>-F46</f>
        <v/>
      </c>
      <c r="G61" s="60">
        <f>-G46</f>
        <v/>
      </c>
      <c r="H61" s="60">
        <f>-H46</f>
        <v/>
      </c>
      <c r="I61" s="60">
        <f>-I46</f>
        <v/>
      </c>
      <c r="J61" s="60">
        <f>SUM(B61:E61)</f>
        <v/>
      </c>
      <c r="K61" s="60">
        <f>SUM(F61:I61)</f>
        <v/>
      </c>
    </row>
    <row r="62">
      <c r="A62" s="5" t="inlineStr">
        <is>
          <t>less: cash taxes (= book taxes)</t>
        </is>
      </c>
      <c r="D62" s="60">
        <f>-D49</f>
        <v/>
      </c>
      <c r="E62" s="60">
        <f>-E49</f>
        <v/>
      </c>
      <c r="F62" s="60">
        <f>-F49</f>
        <v/>
      </c>
      <c r="G62" s="60">
        <f>-G49</f>
        <v/>
      </c>
      <c r="H62" s="60">
        <f>-H49</f>
        <v/>
      </c>
      <c r="I62" s="60">
        <f>-I49</f>
        <v/>
      </c>
      <c r="J62" s="60">
        <f>SUM(B62:E62)</f>
        <v/>
      </c>
      <c r="K62" s="60">
        <f>SUM(F62:I62)</f>
        <v/>
      </c>
    </row>
    <row r="63">
      <c r="A63" s="5" t="inlineStr">
        <is>
          <t>less: increase in Aerospace inventory  [KEY #2]</t>
        </is>
      </c>
      <c r="D63" s="60">
        <f>-(D86-C86)</f>
        <v/>
      </c>
      <c r="E63" s="60">
        <f>-(E86-D86)</f>
        <v/>
      </c>
      <c r="F63" s="60">
        <f>-(F86-E86)</f>
        <v/>
      </c>
      <c r="G63" s="60">
        <f>-(G86-F86)</f>
        <v/>
      </c>
      <c r="H63" s="60">
        <f>-(H86-G86)</f>
        <v/>
      </c>
      <c r="I63" s="60">
        <f>-(I86-H86)</f>
        <v/>
      </c>
      <c r="J63" s="60">
        <f>SUM(B63:E63)</f>
        <v/>
      </c>
      <c r="K63" s="60">
        <f>SUM(F63:I63)</f>
        <v/>
      </c>
      <c r="L63" s="39" t="inlineStr">
        <is>
          <t>KEY #2: days-based inventory, driven by conversion %</t>
        </is>
      </c>
    </row>
    <row r="64">
      <c r="A64" s="5" t="inlineStr">
        <is>
          <t>less: Power turbine working-capital investment (next quarter's units)</t>
        </is>
      </c>
      <c r="D64" s="60">
        <f>-Drivers!$D$78*E16</f>
        <v/>
      </c>
      <c r="E64" s="60">
        <f>-Drivers!$D$78*F16</f>
        <v/>
      </c>
      <c r="F64" s="60">
        <f>-Drivers!$D$78*G16</f>
        <v/>
      </c>
      <c r="G64" s="60">
        <f>-Drivers!$D$78*H16</f>
        <v/>
      </c>
      <c r="H64" s="60">
        <f>-Drivers!$D$78*I16</f>
        <v/>
      </c>
      <c r="I64" s="60">
        <f>-Drivers!$D$78*Drivers!J$68/Drivers!$D$18</f>
        <v/>
      </c>
      <c r="J64" s="60">
        <f>SUM(B64:E64)</f>
        <v/>
      </c>
      <c r="K64" s="60">
        <f>SUM(F64:I64)</f>
        <v/>
      </c>
    </row>
    <row r="65">
      <c r="A65" s="5" t="inlineStr">
        <is>
          <t>plus: Power working-capital release on delivery</t>
        </is>
      </c>
      <c r="D65" s="60">
        <f>Drivers!$D$78*D16</f>
        <v/>
      </c>
      <c r="E65" s="60">
        <f>Drivers!$D$78*E16</f>
        <v/>
      </c>
      <c r="F65" s="60">
        <f>Drivers!$D$78*F16</f>
        <v/>
      </c>
      <c r="G65" s="60">
        <f>Drivers!$D$78*G16</f>
        <v/>
      </c>
      <c r="H65" s="60">
        <f>Drivers!$D$78*H16</f>
        <v/>
      </c>
      <c r="I65" s="60">
        <f>Drivers!$D$78*I16</f>
        <v/>
      </c>
      <c r="J65" s="60">
        <f>SUM(B65:E65)</f>
        <v/>
      </c>
      <c r="K65" s="60">
        <f>SUM(F65:I65)</f>
        <v/>
      </c>
    </row>
    <row r="66">
      <c r="A66" s="5" t="inlineStr">
        <is>
          <t>plus: leasing book sold (at book value; gain already in EBITDA)</t>
        </is>
      </c>
      <c r="D66" s="60">
        <f>D22</f>
        <v/>
      </c>
      <c r="E66" s="60">
        <f>E22</f>
        <v/>
      </c>
      <c r="F66" s="60">
        <f>F22</f>
        <v/>
      </c>
      <c r="G66" s="60">
        <f>G22</f>
        <v/>
      </c>
      <c r="H66" s="60">
        <f>H22</f>
        <v/>
      </c>
      <c r="I66" s="60">
        <f>I22</f>
        <v/>
      </c>
      <c r="J66" s="60">
        <f>SUM(B66:E66)</f>
        <v/>
      </c>
      <c r="K66" s="60">
        <f>SUM(F66:I66)</f>
        <v/>
      </c>
    </row>
    <row r="67">
      <c r="A67" s="5" t="inlineStr">
        <is>
          <t>less: leasing equipment acquisitions</t>
        </is>
      </c>
      <c r="D67" s="60">
        <f>-D24</f>
        <v/>
      </c>
      <c r="E67" s="60">
        <f>-E24</f>
        <v/>
      </c>
      <c r="F67" s="60">
        <f>-F24</f>
        <v/>
      </c>
      <c r="G67" s="60">
        <f>-G24</f>
        <v/>
      </c>
      <c r="H67" s="60">
        <f>-H24</f>
        <v/>
      </c>
      <c r="I67" s="60">
        <f>-I24</f>
        <v/>
      </c>
      <c r="J67" s="60">
        <f>SUM(B67:E67)</f>
        <v/>
      </c>
      <c r="K67" s="60">
        <f>SUM(F67:I67)</f>
        <v/>
      </c>
    </row>
    <row r="68">
      <c r="A68" s="5" t="inlineStr">
        <is>
          <t>less: SCI co-investment</t>
        </is>
      </c>
      <c r="D68" s="60">
        <f>-Drivers!$D$120*(D28-C28)</f>
        <v/>
      </c>
      <c r="E68" s="60">
        <f>-Drivers!$D$120*(E28-D28)</f>
        <v/>
      </c>
      <c r="F68" s="60">
        <f>-Drivers!$D$120*(F28-E28)</f>
        <v/>
      </c>
      <c r="G68" s="60">
        <f>-Drivers!$D$120*(G28-F28)</f>
        <v/>
      </c>
      <c r="H68" s="60">
        <f>-Drivers!$D$120*(H28-G28)</f>
        <v/>
      </c>
      <c r="I68" s="60">
        <f>-Drivers!$D$120*(I28-H28)</f>
        <v/>
      </c>
      <c r="J68" s="60">
        <f>SUM(B68:E68)</f>
        <v/>
      </c>
      <c r="K68" s="60">
        <f>SUM(F68:I68)</f>
        <v/>
      </c>
    </row>
    <row r="69">
      <c r="A69" s="5" t="inlineStr">
        <is>
          <t>less: PP&amp;E capex</t>
        </is>
      </c>
      <c r="D69" s="60">
        <f>-D45</f>
        <v/>
      </c>
      <c r="E69" s="60">
        <f>-E45</f>
        <v/>
      </c>
      <c r="F69" s="60">
        <f>-F45</f>
        <v/>
      </c>
      <c r="G69" s="60">
        <f>-G45</f>
        <v/>
      </c>
      <c r="H69" s="60">
        <f>-H45</f>
        <v/>
      </c>
      <c r="I69" s="60">
        <f>-I45</f>
        <v/>
      </c>
      <c r="J69" s="60">
        <f>SUM(B69:E69)</f>
        <v/>
      </c>
      <c r="K69" s="60">
        <f>SUM(F69:I69)</f>
        <v/>
      </c>
    </row>
    <row r="70">
      <c r="A70" s="5" t="inlineStr">
        <is>
          <t>plus: insurance proceeds</t>
        </is>
      </c>
      <c r="D70" s="60">
        <f>D31</f>
        <v/>
      </c>
      <c r="E70" s="60">
        <f>E31</f>
        <v/>
      </c>
      <c r="F70" s="60">
        <f>F31</f>
        <v/>
      </c>
      <c r="G70" s="60">
        <f>G31</f>
        <v/>
      </c>
      <c r="H70" s="60">
        <f>H31</f>
        <v/>
      </c>
      <c r="I70" s="60">
        <f>I31</f>
        <v/>
      </c>
      <c r="J70" s="60">
        <f>SUM(B70:E70)</f>
        <v/>
      </c>
      <c r="K70" s="60">
        <f>SUM(F70:I70)</f>
        <v/>
      </c>
    </row>
    <row r="71">
      <c r="A71" s="3" t="inlineStr">
        <is>
          <t>CFO + CFI (GAAP basis, model)</t>
        </is>
      </c>
      <c r="B71" s="72">
        <f>Historical!$M$50</f>
        <v/>
      </c>
      <c r="C71" s="72">
        <f>Historical!$N$50</f>
        <v/>
      </c>
      <c r="D71" s="35">
        <f>SUM(D56:D70)</f>
        <v/>
      </c>
      <c r="E71" s="35">
        <f>SUM(E56:E70)</f>
        <v/>
      </c>
      <c r="F71" s="35">
        <f>SUM(F56:F70)</f>
        <v/>
      </c>
      <c r="G71" s="35">
        <f>SUM(G56:G70)</f>
        <v/>
      </c>
      <c r="H71" s="35">
        <f>SUM(H56:H70)</f>
        <v/>
      </c>
      <c r="I71" s="35">
        <f>SUM(I56:I70)</f>
        <v/>
      </c>
      <c r="J71" s="35">
        <f>SUM(B71:E71)</f>
        <v/>
      </c>
      <c r="K71" s="35">
        <f>SUM(F71:I71)</f>
        <v/>
      </c>
      <c r="L71" s="39" t="inlineStr">
        <is>
          <t>Actual = reported CFO + CFI (Q1 157.0, Q2 93.5)</t>
        </is>
      </c>
    </row>
    <row r="72">
      <c r="A72" s="5" t="inlineStr">
        <is>
          <t xml:space="preserve">  memo: seed-sale proceeds to SCI (one-off)</t>
        </is>
      </c>
      <c r="B72" s="34">
        <f>Historical!$M$52</f>
        <v/>
      </c>
      <c r="C72" s="34">
        <f>Historical!$N$52</f>
        <v/>
      </c>
      <c r="D72" s="60">
        <f>Drivers!$D$121*D22*(1+Drivers!$D$90)</f>
        <v/>
      </c>
      <c r="E72" s="60">
        <f>Drivers!$D$121*E22*(1+Drivers!$D$90)</f>
        <v/>
      </c>
      <c r="F72" s="60">
        <f>Drivers!$D$121*F22*(1+Drivers!$D$90)</f>
        <v/>
      </c>
      <c r="G72" s="60">
        <f>Drivers!$D$121*G22*(1+Drivers!$D$90)</f>
        <v/>
      </c>
      <c r="H72" s="60">
        <f>Drivers!$D$121*H22*(1+Drivers!$D$90)</f>
        <v/>
      </c>
      <c r="I72" s="60">
        <f>Drivers!$D$121*I22*(1+Drivers!$D$90)</f>
        <v/>
      </c>
      <c r="J72" s="60">
        <f>SUM(B72:E72)</f>
        <v/>
      </c>
      <c r="K72" s="60">
        <f>SUM(F72:I72)</f>
        <v/>
      </c>
    </row>
    <row r="73">
      <c r="A73" s="5" t="inlineStr">
        <is>
          <t xml:space="preserve">  memo: insurance proceeds (one-off)</t>
        </is>
      </c>
      <c r="B73" s="34">
        <f>Historical!$M$53</f>
        <v/>
      </c>
      <c r="C73" s="34">
        <f>Historical!$N$53</f>
        <v/>
      </c>
      <c r="D73" s="60">
        <f>D31</f>
        <v/>
      </c>
      <c r="E73" s="60">
        <f>E31</f>
        <v/>
      </c>
      <c r="F73" s="60">
        <f>F31</f>
        <v/>
      </c>
      <c r="G73" s="60">
        <f>G31</f>
        <v/>
      </c>
      <c r="H73" s="60">
        <f>H31</f>
        <v/>
      </c>
      <c r="I73" s="60">
        <f>I31</f>
        <v/>
      </c>
      <c r="J73" s="60">
        <f>SUM(B73:E73)</f>
        <v/>
      </c>
      <c r="K73" s="60">
        <f>SUM(F73:I73)</f>
        <v/>
      </c>
    </row>
    <row r="74">
      <c r="A74" s="3" t="inlineStr">
        <is>
          <t>Clean CFO + CFI (excl. seed-sale and insurance proceeds)</t>
        </is>
      </c>
      <c r="B74" s="35">
        <f>B71-B72-B73</f>
        <v/>
      </c>
      <c r="C74" s="35">
        <f>C71-C72-C73</f>
        <v/>
      </c>
      <c r="D74" s="35">
        <f>D71-D72-D73</f>
        <v/>
      </c>
      <c r="E74" s="35">
        <f>E71-E72-E73</f>
        <v/>
      </c>
      <c r="F74" s="35">
        <f>F71-F72-F73</f>
        <v/>
      </c>
      <c r="G74" s="35">
        <f>G71-G72-G73</f>
        <v/>
      </c>
      <c r="H74" s="35">
        <f>H71-H72-H73</f>
        <v/>
      </c>
      <c r="I74" s="35">
        <f>I71-I72-I73</f>
        <v/>
      </c>
      <c r="J74" s="35">
        <f>SUM(B74:E74)</f>
        <v/>
      </c>
      <c r="K74" s="35">
        <f>SUM(F74:I74)</f>
        <v/>
      </c>
      <c r="L74" s="39" t="inlineStr">
        <is>
          <t>Actual 1H26: 250.4 - 175.7 seed - 48.3 insurance = 26.4</t>
        </is>
      </c>
    </row>
    <row r="75">
      <c r="A75" s="3" t="inlineStr">
        <is>
          <t>Company-defined Adjusted FCF (adds back SCI co-invest, NET Power turbine investment, hot-section parts)</t>
        </is>
      </c>
      <c r="B75" s="72">
        <f>Historical!$M$60</f>
        <v/>
      </c>
      <c r="C75" s="72">
        <f>Historical!$N$60</f>
        <v/>
      </c>
      <c r="D75" s="35">
        <f>D71-D68+MAX(0,-(D64+D65))+Drivers!$D$177</f>
        <v/>
      </c>
      <c r="E75" s="35">
        <f>E71-E68+MAX(0,-(E64+E65))+Drivers!$D$177</f>
        <v/>
      </c>
      <c r="F75" s="35">
        <f>F71-F68+MAX(0,-(F64+F65))+Drivers!$D$177</f>
        <v/>
      </c>
      <c r="G75" s="35">
        <f>G71-G68+MAX(0,-(G64+G65))+Drivers!$D$177</f>
        <v/>
      </c>
      <c r="H75" s="35">
        <f>H71-H68+MAX(0,-(H64+H65))+Drivers!$D$177</f>
        <v/>
      </c>
      <c r="I75" s="35">
        <f>I71-I68+MAX(0,-(I64+I65))+Drivers!$D$177</f>
        <v/>
      </c>
      <c r="J75" s="35">
        <f>SUM(B75:E75)</f>
        <v/>
      </c>
      <c r="K75" s="35">
        <f>SUM(F75:I75)</f>
        <v/>
      </c>
      <c r="L75" s="39" t="inlineStr">
        <is>
          <t>Actual: Q1 158, Q2 97 (1H26 255) per company; forecast uses FY25-style add-backs</t>
        </is>
      </c>
    </row>
    <row r="76">
      <c r="A76" s="10" t="inlineStr">
        <is>
          <t>FINANCING AND BALANCE SHEET ITEMS</t>
        </is>
      </c>
      <c r="B76" s="11" t="n"/>
      <c r="C76" s="11" t="n"/>
      <c r="D76" s="11" t="n"/>
      <c r="E76" s="11" t="n"/>
      <c r="F76" s="11" t="n"/>
      <c r="G76" s="11" t="n"/>
      <c r="H76" s="11" t="n"/>
      <c r="I76" s="11" t="n"/>
      <c r="J76" s="11" t="n"/>
      <c r="K76" s="11" t="n"/>
      <c r="L76" s="11" t="n"/>
    </row>
    <row r="77">
      <c r="A77" s="5" t="inlineStr">
        <is>
          <t>Common dividends</t>
        </is>
      </c>
      <c r="D77" s="60">
        <f>-Drivers!$D$139*D53</f>
        <v/>
      </c>
      <c r="E77" s="60">
        <f>-Drivers!$D$139*E53</f>
        <v/>
      </c>
      <c r="F77" s="60">
        <f>-Drivers!$D$139*F53</f>
        <v/>
      </c>
      <c r="G77" s="60">
        <f>-Drivers!$D$139*G53</f>
        <v/>
      </c>
      <c r="H77" s="60">
        <f>-Drivers!$D$139*H53</f>
        <v/>
      </c>
      <c r="I77" s="60">
        <f>-Drivers!$D$139*I53</f>
        <v/>
      </c>
      <c r="J77" s="60">
        <f>SUM(B77:E77)</f>
        <v/>
      </c>
      <c r="K77" s="60">
        <f>SUM(F77:I77)</f>
        <v/>
      </c>
    </row>
    <row r="78">
      <c r="A78" s="5" t="inlineStr">
        <is>
          <t>Preferred dividends and NCI (cash)</t>
        </is>
      </c>
      <c r="D78" s="60">
        <f>-D51</f>
        <v/>
      </c>
      <c r="E78" s="60">
        <f>-E51</f>
        <v/>
      </c>
      <c r="F78" s="60">
        <f>-F51</f>
        <v/>
      </c>
      <c r="G78" s="60">
        <f>-G51</f>
        <v/>
      </c>
      <c r="H78" s="60">
        <f>-H51</f>
        <v/>
      </c>
      <c r="I78" s="60">
        <f>-I51</f>
        <v/>
      </c>
      <c r="J78" s="60">
        <f>SUM(B78:E78)</f>
        <v/>
      </c>
      <c r="K78" s="60">
        <f>SUM(F78:I78)</f>
        <v/>
      </c>
    </row>
    <row r="79">
      <c r="A79" s="5" t="inlineStr">
        <is>
          <t>Share buybacks (toggle)</t>
        </is>
      </c>
      <c r="D79" s="60">
        <f>-Drivers!$D$136*Drivers!$D$137/Drivers!$D$138</f>
        <v/>
      </c>
      <c r="E79" s="60">
        <f>-Drivers!$D$136*Drivers!$D$137/Drivers!$D$138</f>
        <v/>
      </c>
      <c r="F79" s="60">
        <f>-Drivers!$D$136*Drivers!$D$137/Drivers!$D$138</f>
        <v/>
      </c>
      <c r="G79" s="60">
        <f>-Drivers!$D$136*Drivers!$D$137/Drivers!$D$138</f>
        <v/>
      </c>
      <c r="H79" s="60">
        <f>-Drivers!$D$136*Drivers!$D$137/Drivers!$D$138</f>
        <v/>
      </c>
      <c r="I79" s="60">
        <f>-Drivers!$D$136*Drivers!$D$137/Drivers!$D$138</f>
        <v/>
      </c>
      <c r="J79" s="60">
        <f>SUM(B79:E79)</f>
        <v/>
      </c>
      <c r="K79" s="60">
        <f>SUM(F79:I79)</f>
        <v/>
      </c>
    </row>
    <row r="80">
      <c r="A80" s="5" t="inlineStr">
        <is>
          <t>Cash before revolver</t>
        </is>
      </c>
      <c r="D80" s="60">
        <f>C82+D71+D77+D78+D79</f>
        <v/>
      </c>
      <c r="E80" s="60">
        <f>D82+E71+E77+E78+E79</f>
        <v/>
      </c>
      <c r="F80" s="60">
        <f>E82+F71+F77+F78+F79</f>
        <v/>
      </c>
      <c r="G80" s="60">
        <f>F82+G71+G77+G78+G79</f>
        <v/>
      </c>
      <c r="H80" s="60">
        <f>G82+H71+H77+H78+H79</f>
        <v/>
      </c>
      <c r="I80" s="60">
        <f>H82+I71+I77+I78+I79</f>
        <v/>
      </c>
      <c r="J80" s="60">
        <f>E80</f>
        <v/>
      </c>
      <c r="K80" s="60">
        <f>I80</f>
        <v/>
      </c>
    </row>
    <row r="81">
      <c r="A81" s="5" t="inlineStr">
        <is>
          <t>Revolver draw / (repayment)</t>
        </is>
      </c>
      <c r="D81" s="60">
        <f>MAX(-C83,Drivers!$D$140-D80)</f>
        <v/>
      </c>
      <c r="E81" s="60">
        <f>MAX(-D83,Drivers!$D$140-E80)</f>
        <v/>
      </c>
      <c r="F81" s="60">
        <f>MAX(-E83,Drivers!$D$140-F80)</f>
        <v/>
      </c>
      <c r="G81" s="60">
        <f>MAX(-F83,Drivers!$D$140-G80)</f>
        <v/>
      </c>
      <c r="H81" s="60">
        <f>MAX(-G83,Drivers!$D$140-H80)</f>
        <v/>
      </c>
      <c r="I81" s="60">
        <f>MAX(-H83,Drivers!$D$140-I80)</f>
        <v/>
      </c>
      <c r="J81" s="60">
        <f>SUM(B81:E81)</f>
        <v/>
      </c>
      <c r="K81" s="60">
        <f>SUM(F81:I81)</f>
        <v/>
      </c>
    </row>
    <row r="82">
      <c r="A82" s="3" t="inlineStr">
        <is>
          <t>Cash, end</t>
        </is>
      </c>
      <c r="B82" s="72">
        <f>Historical!$M$62</f>
        <v/>
      </c>
      <c r="C82" s="72">
        <f>Historical!$N$62</f>
        <v/>
      </c>
      <c r="D82" s="35">
        <f>D80+D81</f>
        <v/>
      </c>
      <c r="E82" s="35">
        <f>E80+E81</f>
        <v/>
      </c>
      <c r="F82" s="35">
        <f>F80+F81</f>
        <v/>
      </c>
      <c r="G82" s="35">
        <f>G80+G81</f>
        <v/>
      </c>
      <c r="H82" s="35">
        <f>H80+H81</f>
        <v/>
      </c>
      <c r="I82" s="35">
        <f>I80+I81</f>
        <v/>
      </c>
      <c r="J82" s="35">
        <f>E82</f>
        <v/>
      </c>
      <c r="K82" s="35">
        <f>I82</f>
        <v/>
      </c>
    </row>
    <row r="83">
      <c r="A83" s="5" t="inlineStr">
        <is>
          <t>Revolver balance, end</t>
        </is>
      </c>
      <c r="B83" s="40" t="n">
        <v>0</v>
      </c>
      <c r="C83" s="40" t="n">
        <v>0</v>
      </c>
      <c r="D83" s="60">
        <f>C83+D81</f>
        <v/>
      </c>
      <c r="E83" s="60">
        <f>D83+E81</f>
        <v/>
      </c>
      <c r="F83" s="60">
        <f>E83+F81</f>
        <v/>
      </c>
      <c r="G83" s="60">
        <f>F83+G81</f>
        <v/>
      </c>
      <c r="H83" s="60">
        <f>G83+H81</f>
        <v/>
      </c>
      <c r="I83" s="60">
        <f>H83+I81</f>
        <v/>
      </c>
      <c r="J83" s="60">
        <f>E83</f>
        <v/>
      </c>
      <c r="K83" s="60">
        <f>I83</f>
        <v/>
      </c>
      <c r="L83" s="39" t="inlineStr">
        <is>
          <t>Revolver undrawn at 6/30/26</t>
        </is>
      </c>
    </row>
    <row r="84">
      <c r="A84" s="5" t="inlineStr">
        <is>
          <t>Senior notes (carrying, before issuance costs)</t>
        </is>
      </c>
      <c r="B84" s="34">
        <f>Historical!$M$68</f>
        <v/>
      </c>
      <c r="C84" s="34">
        <f>Historical!$N$68</f>
        <v/>
      </c>
      <c r="D84" s="60">
        <f>C84</f>
        <v/>
      </c>
      <c r="E84" s="60">
        <f>D84</f>
        <v/>
      </c>
      <c r="F84" s="60">
        <f>E84</f>
        <v/>
      </c>
      <c r="G84" s="60">
        <f>F84</f>
        <v/>
      </c>
      <c r="H84" s="60">
        <f>G84</f>
        <v/>
      </c>
      <c r="I84" s="60">
        <f>H84</f>
        <v/>
      </c>
      <c r="J84" s="60">
        <f>E84</f>
        <v/>
      </c>
      <c r="K84" s="60">
        <f>I84</f>
        <v/>
      </c>
    </row>
    <row r="85">
      <c r="A85" s="3" t="inlineStr">
        <is>
          <t>Net debt</t>
        </is>
      </c>
      <c r="B85" s="35">
        <f>B84+B83-B82</f>
        <v/>
      </c>
      <c r="C85" s="35">
        <f>C84+C83-C82</f>
        <v/>
      </c>
      <c r="D85" s="35">
        <f>D84+D83-D82</f>
        <v/>
      </c>
      <c r="E85" s="35">
        <f>E84+E83-E82</f>
        <v/>
      </c>
      <c r="F85" s="35">
        <f>F84+F83-F82</f>
        <v/>
      </c>
      <c r="G85" s="35">
        <f>G84+G83-G82</f>
        <v/>
      </c>
      <c r="H85" s="35">
        <f>H84+H83-H82</f>
        <v/>
      </c>
      <c r="I85" s="35">
        <f>I84+I83-I82</f>
        <v/>
      </c>
      <c r="J85" s="35">
        <f>E85</f>
        <v/>
      </c>
      <c r="K85" s="35">
        <f>I85</f>
        <v/>
      </c>
    </row>
    <row r="86">
      <c r="A86" s="5" t="inlineStr">
        <is>
          <t>Inventory, end</t>
        </is>
      </c>
      <c r="B86" s="34">
        <f>Historical!$M$63</f>
        <v/>
      </c>
      <c r="C86" s="34">
        <f>Historical!$N$63</f>
        <v/>
      </c>
      <c r="D86" s="60">
        <f>Drivers!D$173*D14/Drivers!$D$19</f>
        <v/>
      </c>
      <c r="E86" s="60">
        <f>Drivers!E$173*E14/Drivers!$D$19</f>
        <v/>
      </c>
      <c r="F86" s="60">
        <f>Drivers!F$173*F14/Drivers!$D$19</f>
        <v/>
      </c>
      <c r="G86" s="60">
        <f>Drivers!G$173*G14/Drivers!$D$19</f>
        <v/>
      </c>
      <c r="H86" s="60">
        <f>Drivers!H$173*H14/Drivers!$D$19</f>
        <v/>
      </c>
      <c r="I86" s="60">
        <f>Drivers!I$173*I14/Drivers!$D$19</f>
        <v/>
      </c>
      <c r="J86" s="60">
        <f>E86</f>
        <v/>
      </c>
      <c r="K86" s="60">
        <f>I86</f>
        <v/>
      </c>
    </row>
    <row r="87">
      <c r="A87" s="5" t="inlineStr">
        <is>
          <t>Inventory days (Aerospace cost-of-sales basis)</t>
        </is>
      </c>
      <c r="B87" s="60">
        <f>IF(B14=0,"",B86/B14*Drivers!$D$19)</f>
        <v/>
      </c>
      <c r="C87" s="60">
        <f>IF(C14=0,"",C86/C14*Drivers!$D$19)</f>
        <v/>
      </c>
      <c r="D87" s="60">
        <f>D86/D14*Drivers!$D$19</f>
        <v/>
      </c>
      <c r="E87" s="60">
        <f>E86/E14*Drivers!$D$19</f>
        <v/>
      </c>
      <c r="F87" s="60">
        <f>F86/F14*Drivers!$D$19</f>
        <v/>
      </c>
      <c r="G87" s="60">
        <f>G86/G14*Drivers!$D$19</f>
        <v/>
      </c>
      <c r="H87" s="60">
        <f>H86/H14*Drivers!$D$19</f>
        <v/>
      </c>
      <c r="I87" s="60">
        <f>I86/I14*Drivers!$D$19</f>
        <v/>
      </c>
      <c r="J87" s="60">
        <f>J86/J14*Drivers!$D$20</f>
        <v/>
      </c>
      <c r="K87" s="60">
        <f>K86/K14*Drivers!$D$20</f>
        <v/>
      </c>
    </row>
    <row r="88"/>
    <row r="89">
      <c r="A89" s="10" t="inlineStr">
        <is>
          <t>BACK-TEST of the EPS bridge on actual quarters (driver-based pretax vs reported)</t>
        </is>
      </c>
      <c r="B89" s="11" t="n"/>
      <c r="C89" s="11" t="n"/>
      <c r="D89" s="11" t="n"/>
      <c r="E89" s="11" t="n"/>
      <c r="F89" s="11" t="n"/>
      <c r="G89" s="11" t="n"/>
      <c r="H89" s="11" t="n"/>
      <c r="I89" s="11" t="n"/>
      <c r="J89" s="11" t="n"/>
      <c r="K89" s="11" t="n"/>
      <c r="L89" s="11" t="n"/>
    </row>
    <row r="90" ht="23" customHeight="1">
      <c r="A90" s="5" t="inlineStr">
        <is>
          <t>Predicted pre-tax (EBITDA - D&amp;A - interest - [pro-rata x (1 - equity conv.) + other adj.])</t>
        </is>
      </c>
      <c r="B90" s="60">
        <f>B37-B43-B46-(B30*(1-Drivers!$D$153)+Drivers!$D$154)</f>
        <v/>
      </c>
      <c r="C90" s="60">
        <f>C37-C43-C46-(C30*(1-Drivers!$D$153)+Drivers!$D$154)</f>
        <v/>
      </c>
      <c r="L90" s="39" t="inlineStr">
        <is>
          <t>Pro-rata for Q1'26 is assumed equal to Q2'26 (components not disclosed). Calibrated on 1H26 combined, so each quarter is an out-of-sample test</t>
        </is>
      </c>
    </row>
    <row r="91">
      <c r="A91" s="5" t="inlineStr">
        <is>
          <t>Predicted net income attributable</t>
        </is>
      </c>
      <c r="B91" s="60">
        <f>B90*(1-Drivers!$D$133)-B51</f>
        <v/>
      </c>
      <c r="C91" s="60">
        <f>C90*(1-Drivers!$D$133)-C51</f>
        <v/>
      </c>
    </row>
    <row r="92">
      <c r="A92" s="5" t="inlineStr">
        <is>
          <t>Predicted diluted EPS ($)</t>
        </is>
      </c>
      <c r="B92" s="19">
        <f>B91/B53</f>
        <v/>
      </c>
      <c r="C92" s="19">
        <f>C91/C53</f>
        <v/>
      </c>
    </row>
    <row r="93">
      <c r="A93" s="5" t="inlineStr">
        <is>
          <t>Reported diluted EPS ($)</t>
        </is>
      </c>
      <c r="B93" s="19">
        <f>B54</f>
        <v/>
      </c>
      <c r="C93" s="19">
        <f>C54</f>
        <v/>
      </c>
    </row>
    <row r="94">
      <c r="A94" s="3" t="inlineStr">
        <is>
          <t>Difference ($)</t>
        </is>
      </c>
      <c r="B94" s="74">
        <f>B92-B93</f>
        <v/>
      </c>
      <c r="C94" s="74">
        <f>C92-C93</f>
        <v/>
      </c>
    </row>
  </sheetData>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8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70" customWidth="1" min="10" max="10"/>
  </cols>
  <sheetData>
    <row r="1">
      <c r="A1" s="1" t="inlineStr">
        <is>
          <t>Annual model: FY2023A - FY2025A history, FY2026E - FY2030E projections (5 years)</t>
        </is>
      </c>
    </row>
    <row r="2">
      <c r="A2" s="2" t="inlineStr">
        <is>
          <t>FY26 and FY27 are summed from Quarterly; FY28-FY30 are driven by annual growth, margin-scale (capped) and unit drivers on the Drivers tab. USD m except per-share.</t>
        </is>
      </c>
    </row>
    <row r="4">
      <c r="A4" s="13" t="inlineStr">
        <is>
          <t>USD m</t>
        </is>
      </c>
      <c r="B4" s="14" t="inlineStr">
        <is>
          <t>FY2023A</t>
        </is>
      </c>
      <c r="C4" s="14" t="inlineStr">
        <is>
          <t>FY2024A</t>
        </is>
      </c>
      <c r="D4" s="14" t="inlineStr">
        <is>
          <t>FY2025A</t>
        </is>
      </c>
      <c r="E4" s="14" t="inlineStr">
        <is>
          <t>FY2026E</t>
        </is>
      </c>
      <c r="F4" s="14" t="inlineStr">
        <is>
          <t>FY2027E</t>
        </is>
      </c>
      <c r="G4" s="14" t="inlineStr">
        <is>
          <t>FY2028E</t>
        </is>
      </c>
      <c r="H4" s="14" t="inlineStr">
        <is>
          <t>FY2029E</t>
        </is>
      </c>
      <c r="I4" s="14" t="inlineStr">
        <is>
          <t>FY2030E</t>
        </is>
      </c>
      <c r="J4" s="14" t="inlineStr">
        <is>
          <t>Notes</t>
        </is>
      </c>
    </row>
    <row r="5">
      <c r="A5" s="10" t="inlineStr">
        <is>
          <t>AEROSPACE</t>
        </is>
      </c>
      <c r="B5" s="11" t="n"/>
      <c r="C5" s="11" t="n"/>
      <c r="D5" s="11" t="n"/>
      <c r="E5" s="11" t="n"/>
      <c r="F5" s="11" t="n"/>
      <c r="G5" s="11" t="n"/>
      <c r="H5" s="11" t="n"/>
      <c r="I5" s="11" t="n"/>
      <c r="J5" s="11" t="n"/>
    </row>
    <row r="6">
      <c r="A6" s="5" t="inlineStr">
        <is>
          <t>Modules produced / sold (units)</t>
        </is>
      </c>
      <c r="E6" s="18">
        <f>SUM(Quarterly!B6:E6)</f>
        <v/>
      </c>
      <c r="F6" s="18">
        <f>SUM(Quarterly!F6:I6)</f>
        <v/>
      </c>
      <c r="G6" s="18">
        <f>F6*(1+Drivers!J$38)</f>
        <v/>
      </c>
      <c r="H6" s="18">
        <f>G6*(1+Drivers!K$38)</f>
        <v/>
      </c>
      <c r="I6" s="18">
        <f>H6*(1+Drivers!L$38)</f>
        <v/>
      </c>
    </row>
    <row r="7">
      <c r="A7" s="5" t="inlineStr">
        <is>
          <t>Revenue per module ($M)</t>
        </is>
      </c>
      <c r="E7" s="69">
        <f>IF(E6=0,"",E8/E6)</f>
        <v/>
      </c>
      <c r="F7" s="69">
        <f>IF(F6=0,"",F8/F6)</f>
        <v/>
      </c>
      <c r="G7" s="69">
        <f>F7*(1+Drivers!J$42)</f>
        <v/>
      </c>
      <c r="H7" s="69">
        <f>G7*(1+Drivers!K$42)</f>
        <v/>
      </c>
      <c r="I7" s="69">
        <f>H7*(1+Drivers!L$42)</f>
        <v/>
      </c>
    </row>
    <row r="8">
      <c r="A8" s="5" t="inlineStr">
        <is>
          <t>Aerospace segment revenue</t>
        </is>
      </c>
      <c r="B8" s="34">
        <f>Historical!$B$14</f>
        <v/>
      </c>
      <c r="C8" s="34">
        <f>Historical!$C$14</f>
        <v/>
      </c>
      <c r="D8" s="34">
        <f>Historical!$D$14</f>
        <v/>
      </c>
      <c r="E8" s="60">
        <f>SUM(Quarterly!B8:E8)</f>
        <v/>
      </c>
      <c r="F8" s="60">
        <f>SUM(Quarterly!F8:I8)</f>
        <v/>
      </c>
      <c r="G8" s="60">
        <f>G6*G7</f>
        <v/>
      </c>
      <c r="H8" s="60">
        <f>H6*H7</f>
        <v/>
      </c>
      <c r="I8" s="60">
        <f>I6*I7</f>
        <v/>
      </c>
    </row>
    <row r="9">
      <c r="A9" s="5" t="inlineStr">
        <is>
          <t xml:space="preserve">  MRE share of Aerospace revenue</t>
        </is>
      </c>
      <c r="D9" s="9">
        <f>IF(D8=0,"",D10/D8)</f>
        <v/>
      </c>
      <c r="E9" s="9">
        <f>IF(E8=0,"",E10/E8)</f>
        <v/>
      </c>
      <c r="F9" s="9">
        <f>IF(F8=0,"",F10/F8)</f>
        <v/>
      </c>
      <c r="G9" s="15">
        <f>Drivers!J$51</f>
        <v/>
      </c>
      <c r="H9" s="15">
        <f>Drivers!K$51</f>
        <v/>
      </c>
      <c r="I9" s="15">
        <f>Drivers!L$51</f>
        <v/>
      </c>
    </row>
    <row r="10">
      <c r="A10" s="5" t="inlineStr">
        <is>
          <t xml:space="preserve">  MRE Contract revenue (to 2025 Partnership)</t>
        </is>
      </c>
      <c r="D10" s="34">
        <f>Historical!$D$7</f>
        <v/>
      </c>
      <c r="E10" s="60">
        <f>SUM(Quarterly!B10:E10)</f>
        <v/>
      </c>
      <c r="F10" s="60">
        <f>SUM(Quarterly!F10:I10)</f>
        <v/>
      </c>
      <c r="G10" s="60">
        <f>G8*G9</f>
        <v/>
      </c>
      <c r="H10" s="60">
        <f>H8*H9</f>
        <v/>
      </c>
      <c r="I10" s="60">
        <f>I8*I9</f>
        <v/>
      </c>
    </row>
    <row r="11">
      <c r="A11" s="5" t="inlineStr">
        <is>
          <t>EBITDA per module ($M)</t>
        </is>
      </c>
      <c r="E11" s="70">
        <f>IF(E6=0,"",E12/E6)</f>
        <v/>
      </c>
      <c r="F11" s="70">
        <f>IF(F6=0,"",F12/F6)</f>
        <v/>
      </c>
      <c r="G11" s="70">
        <f>G12/G6</f>
        <v/>
      </c>
      <c r="H11" s="70">
        <f>H12/H6</f>
        <v/>
      </c>
      <c r="I11" s="70">
        <f>I12/I6</f>
        <v/>
      </c>
    </row>
    <row r="12">
      <c r="A12" s="3" t="inlineStr">
        <is>
          <t>Aerospace Adj. EBITDA  [KEY #1 = modules x EBITDA per module]</t>
        </is>
      </c>
      <c r="B12" s="72">
        <f>Historical!$B$33</f>
        <v/>
      </c>
      <c r="C12" s="72">
        <f>Historical!$C$33</f>
        <v/>
      </c>
      <c r="D12" s="72">
        <f>Historical!$D$33</f>
        <v/>
      </c>
      <c r="E12" s="35">
        <f>SUM(Quarterly!B12:E12)</f>
        <v/>
      </c>
      <c r="F12" s="35">
        <f>SUM(Quarterly!F12:I12)</f>
        <v/>
      </c>
      <c r="G12" s="35">
        <f>G8*G13</f>
        <v/>
      </c>
      <c r="H12" s="35">
        <f>H8*H13</f>
        <v/>
      </c>
      <c r="I12" s="35">
        <f>I8*I13</f>
        <v/>
      </c>
      <c r="J12" s="39" t="inlineStr">
        <is>
          <t>FY26/27 = sum of Quarterly. History: segment Adj. EBITDA</t>
        </is>
      </c>
    </row>
    <row r="13" ht="23" customHeight="1">
      <c r="A13" s="5" t="inlineStr">
        <is>
          <t xml:space="preserve">  Aerospace EBITDA margin</t>
        </is>
      </c>
      <c r="B13" s="9">
        <f>IF(B8=0,"",B12/B8)</f>
        <v/>
      </c>
      <c r="C13" s="9">
        <f>IF(C8=0,"",C12/C8)</f>
        <v/>
      </c>
      <c r="D13" s="9">
        <f>IF(D8=0,"",D12/D8)</f>
        <v/>
      </c>
      <c r="E13" s="9">
        <f>IF(E8=0,"",E12/E8)</f>
        <v/>
      </c>
      <c r="F13" s="9">
        <f>IF(F8=0,"",F12/F8)</f>
        <v/>
      </c>
      <c r="G13" s="9">
        <f>MIN(Drivers!D$58,F13+Drivers!$D$60*Drivers!J$38)</f>
        <v/>
      </c>
      <c r="H13" s="9">
        <f>MIN(Drivers!D$58,G13+Drivers!$D$60*Drivers!K$38)</f>
        <v/>
      </c>
      <c r="I13" s="9">
        <f>MIN(Drivers!D$58,H13+Drivers!$D$60*Drivers!L$38)</f>
        <v/>
      </c>
      <c r="J13" s="39" t="inlineStr">
        <is>
          <t>FY28+: margin = MIN(cap, prior + elasticity x volume growth): economies of scale up to a cap</t>
        </is>
      </c>
    </row>
    <row r="14">
      <c r="A14" s="5" t="inlineStr">
        <is>
          <t xml:space="preserve">  Aerospace cost of sales (actual; forecast proxy = revenue less EBITDA)</t>
        </is>
      </c>
      <c r="B14" s="34">
        <f>Historical!$B$17</f>
        <v/>
      </c>
      <c r="C14" s="34">
        <f>Historical!$C$17</f>
        <v/>
      </c>
      <c r="D14" s="34">
        <f>Historical!$D$17</f>
        <v/>
      </c>
      <c r="E14" s="60">
        <f>SUM(Quarterly!B14:E14)</f>
        <v/>
      </c>
      <c r="F14" s="60">
        <f>SUM(Quarterly!F14:I14)</f>
        <v/>
      </c>
      <c r="G14" s="60">
        <f>G8-G12</f>
        <v/>
      </c>
      <c r="H14" s="60">
        <f>H8-H12</f>
        <v/>
      </c>
      <c r="I14" s="60">
        <f>I8-I12</f>
        <v/>
      </c>
    </row>
    <row r="15">
      <c r="A15" s="10" t="inlineStr">
        <is>
          <t>POWER (J&amp;F JV; pro-rata Adj. EBITDA)</t>
        </is>
      </c>
      <c r="B15" s="11" t="n"/>
      <c r="C15" s="11" t="n"/>
      <c r="D15" s="11" t="n"/>
      <c r="E15" s="11" t="n"/>
      <c r="F15" s="11" t="n"/>
      <c r="G15" s="11" t="n"/>
      <c r="H15" s="11" t="n"/>
      <c r="I15" s="11" t="n"/>
      <c r="J15" s="11" t="n"/>
    </row>
    <row r="16">
      <c r="A16" s="5" t="inlineStr">
        <is>
          <t>Power units delivered</t>
        </is>
      </c>
      <c r="E16" s="18">
        <f>SUM(Quarterly!B16:E16)</f>
        <v/>
      </c>
      <c r="F16" s="18">
        <f>SUM(Quarterly!F16:I16)</f>
        <v/>
      </c>
      <c r="G16" s="17">
        <f>Drivers!J$68</f>
        <v/>
      </c>
      <c r="H16" s="17">
        <f>Drivers!K$68</f>
        <v/>
      </c>
      <c r="I16" s="17">
        <f>Drivers!L$68</f>
        <v/>
      </c>
    </row>
    <row r="17">
      <c r="A17" s="5" t="inlineStr">
        <is>
          <t>EBITDA per unit ($M)</t>
        </is>
      </c>
      <c r="G17" s="73">
        <f>Drivers!J$75</f>
        <v/>
      </c>
      <c r="H17" s="73">
        <f>Drivers!K$75</f>
        <v/>
      </c>
      <c r="I17" s="73">
        <f>Drivers!L$75</f>
        <v/>
      </c>
    </row>
    <row r="18">
      <c r="A18" s="3" t="inlineStr">
        <is>
          <t>Power Adj. EBITDA  [KEY #3 = units x EBITDA per unit]</t>
        </is>
      </c>
      <c r="E18" s="35">
        <f>SUM(Quarterly!B18:E18)</f>
        <v/>
      </c>
      <c r="F18" s="35">
        <f>SUM(Quarterly!F18:I18)</f>
        <v/>
      </c>
      <c r="G18" s="35">
        <f>G16*G17</f>
        <v/>
      </c>
      <c r="H18" s="35">
        <f>H16*H17</f>
        <v/>
      </c>
      <c r="I18" s="35">
        <f>I16*I17</f>
        <v/>
      </c>
    </row>
    <row r="19">
      <c r="A19" s="5" t="inlineStr">
        <is>
          <t xml:space="preserve">  Power revenue to FTAI (memo, unverified price)</t>
        </is>
      </c>
      <c r="E19" s="60">
        <f>SUM(Quarterly!B19:E19)</f>
        <v/>
      </c>
      <c r="F19" s="60">
        <f>SUM(Quarterly!F19:I19)</f>
        <v/>
      </c>
      <c r="G19" s="60">
        <f>G16*Drivers!$D$77</f>
        <v/>
      </c>
      <c r="H19" s="60">
        <f>H16*Drivers!$D$77</f>
        <v/>
      </c>
      <c r="I19" s="60">
        <f>I16*Drivers!$D$77</f>
        <v/>
      </c>
    </row>
    <row r="20">
      <c r="A20" s="10" t="inlineStr">
        <is>
          <t>LEASING</t>
        </is>
      </c>
      <c r="B20" s="11" t="n"/>
      <c r="C20" s="11" t="n"/>
      <c r="D20" s="11" t="n"/>
      <c r="E20" s="11" t="n"/>
      <c r="F20" s="11" t="n"/>
      <c r="G20" s="11" t="n"/>
      <c r="H20" s="11" t="n"/>
      <c r="I20" s="11" t="n"/>
      <c r="J20" s="11" t="n"/>
    </row>
    <row r="21">
      <c r="A21" s="5" t="inlineStr">
        <is>
          <t>Leasing book, beginning</t>
        </is>
      </c>
      <c r="E21" s="34">
        <f>Quarterly!B21</f>
        <v/>
      </c>
      <c r="F21" s="34">
        <f>Quarterly!F21</f>
        <v/>
      </c>
      <c r="G21" s="60">
        <f>F25</f>
        <v/>
      </c>
      <c r="H21" s="60">
        <f>G25</f>
        <v/>
      </c>
      <c r="I21" s="60">
        <f>H25</f>
        <v/>
      </c>
    </row>
    <row r="22">
      <c r="A22" s="5" t="inlineStr">
        <is>
          <t xml:space="preserve">  less: book value sold (run-off)</t>
        </is>
      </c>
      <c r="E22" s="60">
        <f>SUM(Quarterly!B22:E22)</f>
        <v/>
      </c>
      <c r="F22" s="60">
        <f>SUM(Quarterly!F22:I22)</f>
        <v/>
      </c>
      <c r="G22" s="34">
        <f>Drivers!J$88</f>
        <v/>
      </c>
      <c r="H22" s="34">
        <f>Drivers!K$88</f>
        <v/>
      </c>
      <c r="I22" s="34">
        <f>Drivers!L$88</f>
        <v/>
      </c>
    </row>
    <row r="23">
      <c r="A23" s="5" t="inlineStr">
        <is>
          <t xml:space="preserve">  less: depreciation on book</t>
        </is>
      </c>
      <c r="E23" s="60">
        <f>SUM(Quarterly!B23:E23)</f>
        <v/>
      </c>
      <c r="F23" s="60">
        <f>SUM(Quarterly!F23:I23)</f>
        <v/>
      </c>
      <c r="G23" s="60">
        <f>Drivers!$D$129*Drivers!$D$18*G21</f>
        <v/>
      </c>
      <c r="H23" s="60">
        <f>Drivers!$D$129*Drivers!$D$18*H21</f>
        <v/>
      </c>
      <c r="I23" s="60">
        <f>Drivers!$D$129*Drivers!$D$18*I21</f>
        <v/>
      </c>
    </row>
    <row r="24">
      <c r="A24" s="5" t="inlineStr">
        <is>
          <t xml:space="preserve">  plus: leasing equipment acquisitions</t>
        </is>
      </c>
      <c r="E24" s="60">
        <f>SUM(Quarterly!B24:E24)</f>
        <v/>
      </c>
      <c r="F24" s="60">
        <f>SUM(Quarterly!F24:I24)</f>
        <v/>
      </c>
      <c r="G24" s="34">
        <f>Drivers!J$117</f>
        <v/>
      </c>
      <c r="H24" s="34">
        <f>Drivers!K$117</f>
        <v/>
      </c>
      <c r="I24" s="34">
        <f>Drivers!L$117</f>
        <v/>
      </c>
    </row>
    <row r="25">
      <c r="A25" s="5" t="inlineStr">
        <is>
          <t>Leasing book, end</t>
        </is>
      </c>
      <c r="B25" s="34">
        <f>Historical!$B$64</f>
        <v/>
      </c>
      <c r="C25" s="34">
        <f>Historical!$C$64</f>
        <v/>
      </c>
      <c r="D25" s="34">
        <f>Historical!$D$64</f>
        <v/>
      </c>
      <c r="E25" s="34">
        <f>Quarterly!E25</f>
        <v/>
      </c>
      <c r="F25" s="34">
        <f>Quarterly!I25</f>
        <v/>
      </c>
      <c r="G25" s="60">
        <f>G21-G22-G23+G24</f>
        <v/>
      </c>
      <c r="H25" s="60">
        <f>H21-H22-H23+H24</f>
        <v/>
      </c>
      <c r="I25" s="60">
        <f>I21-I22-I23+I24</f>
        <v/>
      </c>
    </row>
    <row r="26">
      <c r="A26" s="5" t="inlineStr">
        <is>
          <t xml:space="preserve">  Lease EBITDA on beginning book (yield)</t>
        </is>
      </c>
      <c r="E26" s="60">
        <f>SUM(Quarterly!B26:E26)</f>
        <v/>
      </c>
      <c r="F26" s="60">
        <f>SUM(Quarterly!F26:I26)</f>
        <v/>
      </c>
    </row>
    <row r="27">
      <c r="A27" s="5" t="inlineStr">
        <is>
          <t xml:space="preserve">  Gains on sale (% of book sold)</t>
        </is>
      </c>
      <c r="B27" s="34">
        <f>Historical!$B$46</f>
        <v/>
      </c>
      <c r="C27" s="34">
        <f>Historical!$C$46</f>
        <v/>
      </c>
      <c r="D27" s="34">
        <f>Historical!$D$46</f>
        <v/>
      </c>
      <c r="E27" s="60">
        <f>SUM(Quarterly!B27:E27)</f>
        <v/>
      </c>
      <c r="F27" s="60">
        <f>SUM(Quarterly!F27:I27)</f>
        <v/>
      </c>
      <c r="G27" s="60">
        <f>Drivers!$D$90*G22</f>
        <v/>
      </c>
      <c r="H27" s="60">
        <f>Drivers!$D$90*H22</f>
        <v/>
      </c>
      <c r="I27" s="60">
        <f>Drivers!$D$90*I22</f>
        <v/>
      </c>
    </row>
    <row r="28">
      <c r="A28" s="5" t="inlineStr">
        <is>
          <t xml:space="preserve">  SCI AUM, end ($M)</t>
        </is>
      </c>
      <c r="E28" s="17">
        <f>Quarterly!E28</f>
        <v/>
      </c>
      <c r="F28" s="17">
        <f>Quarterly!I28</f>
        <v/>
      </c>
      <c r="G28" s="17">
        <f>Drivers!J$97</f>
        <v/>
      </c>
      <c r="H28" s="17">
        <f>Drivers!K$97</f>
        <v/>
      </c>
      <c r="I28" s="17">
        <f>Drivers!L$97</f>
        <v/>
      </c>
    </row>
    <row r="29">
      <c r="A29" s="5" t="inlineStr">
        <is>
          <t xml:space="preserve">  SCI servicing fees (grow with AUM)</t>
        </is>
      </c>
      <c r="E29" s="60">
        <f>SUM(Quarterly!B29:E29)</f>
        <v/>
      </c>
      <c r="F29" s="60">
        <f>SUM(Quarterly!F29:I29)</f>
        <v/>
      </c>
    </row>
    <row r="30">
      <c r="A30" s="5" t="inlineStr">
        <is>
          <t xml:space="preserve">  Pro-rata SCI EBITDA and co-invest returns (non-cash)</t>
        </is>
      </c>
      <c r="E30" s="60">
        <f>SUM(Quarterly!B30:E30)</f>
        <v/>
      </c>
      <c r="F30" s="60">
        <f>SUM(Quarterly!F30:I30)</f>
        <v/>
      </c>
      <c r="G30" s="60">
        <f>G32*F30/F32</f>
        <v/>
      </c>
      <c r="H30" s="60">
        <f>H32*G30/G32</f>
        <v/>
      </c>
      <c r="I30" s="60">
        <f>I32*H30/H32</f>
        <v/>
      </c>
    </row>
    <row r="31">
      <c r="A31" s="5" t="inlineStr">
        <is>
          <t xml:space="preserve">  Insurance recoveries</t>
        </is>
      </c>
      <c r="E31" s="60">
        <f>SUM(Quarterly!B31:E31)</f>
        <v/>
      </c>
      <c r="F31" s="60">
        <f>SUM(Quarterly!F31:I31)</f>
        <v/>
      </c>
    </row>
    <row r="32">
      <c r="A32" s="3" t="inlineStr">
        <is>
          <t>Leasing Adj. EBITDA</t>
        </is>
      </c>
      <c r="B32" s="72">
        <f>Historical!$B$34</f>
        <v/>
      </c>
      <c r="C32" s="72">
        <f>Historical!$C$34</f>
        <v/>
      </c>
      <c r="D32" s="72">
        <f>Historical!$D$34</f>
        <v/>
      </c>
      <c r="E32" s="35">
        <f>SUM(Quarterly!B32:E32)</f>
        <v/>
      </c>
      <c r="F32" s="35">
        <f>SUM(Quarterly!F32:I32)</f>
        <v/>
      </c>
      <c r="G32" s="35">
        <f>F32*(1+Drivers!J$115)</f>
        <v/>
      </c>
      <c r="H32" s="35">
        <f>G32*(1+Drivers!K$115)</f>
        <v/>
      </c>
      <c r="I32" s="35">
        <f>H32*(1+Drivers!L$115)</f>
        <v/>
      </c>
    </row>
    <row r="33">
      <c r="A33" s="5" t="inlineStr">
        <is>
          <t xml:space="preserve">  Leasing segment revenue</t>
        </is>
      </c>
      <c r="B33" s="34">
        <f>Historical!$B$15</f>
        <v/>
      </c>
      <c r="C33" s="34">
        <f>Historical!$C$15</f>
        <v/>
      </c>
      <c r="D33" s="34">
        <f>Historical!$D$15</f>
        <v/>
      </c>
      <c r="E33" s="60">
        <f>SUM(Quarterly!B33:E33)</f>
        <v/>
      </c>
      <c r="F33" s="60">
        <f>SUM(Quarterly!F33:I33)</f>
        <v/>
      </c>
      <c r="G33" s="60">
        <f>G32*Drivers!$D$122</f>
        <v/>
      </c>
      <c r="H33" s="60">
        <f>H32*Drivers!$D$122</f>
        <v/>
      </c>
      <c r="I33" s="60">
        <f>I32*Drivers!$D$122</f>
        <v/>
      </c>
    </row>
    <row r="34">
      <c r="A34" s="10" t="inlineStr">
        <is>
          <t>CORPORATE AND TOTALS</t>
        </is>
      </c>
      <c r="B34" s="11" t="n"/>
      <c r="C34" s="11" t="n"/>
      <c r="D34" s="11" t="n"/>
      <c r="E34" s="11" t="n"/>
      <c r="F34" s="11" t="n"/>
      <c r="G34" s="11" t="n"/>
      <c r="H34" s="11" t="n"/>
      <c r="I34" s="11" t="n"/>
      <c r="J34" s="11" t="n"/>
    </row>
    <row r="35">
      <c r="A35" s="5" t="inlineStr">
        <is>
          <t>Corporate and Other EBITDA</t>
        </is>
      </c>
      <c r="B35" s="34">
        <f>Historical!$B$35</f>
        <v/>
      </c>
      <c r="C35" s="34">
        <f>Historical!$C$35</f>
        <v/>
      </c>
      <c r="D35" s="34">
        <f>Historical!$D$35</f>
        <v/>
      </c>
      <c r="E35" s="60">
        <f>SUM(Quarterly!B35:E35)</f>
        <v/>
      </c>
      <c r="F35" s="60">
        <f>SUM(Quarterly!F35:I35)</f>
        <v/>
      </c>
      <c r="G35" s="60">
        <f>F35*(1+Drivers!J$125)</f>
        <v/>
      </c>
      <c r="H35" s="60">
        <f>G35*(1+Drivers!K$125)</f>
        <v/>
      </c>
      <c r="I35" s="60">
        <f>H35*(1+Drivers!L$125)</f>
        <v/>
      </c>
    </row>
    <row r="36">
      <c r="A36" s="5" t="inlineStr">
        <is>
          <t>Eliminations (profit on sales to 2025 Partnership)</t>
        </is>
      </c>
      <c r="B36" s="34">
        <f>Historical!$B$36</f>
        <v/>
      </c>
      <c r="C36" s="34">
        <f>Historical!$C$36</f>
        <v/>
      </c>
      <c r="D36" s="34">
        <f>Historical!$D$36</f>
        <v/>
      </c>
      <c r="E36" s="60">
        <f>SUM(Quarterly!B36:E36)</f>
        <v/>
      </c>
      <c r="F36" s="60">
        <f>SUM(Quarterly!F36:I36)</f>
        <v/>
      </c>
      <c r="G36" s="60">
        <f>-Drivers!$D$127*G10</f>
        <v/>
      </c>
      <c r="H36" s="60">
        <f>-Drivers!$D$127*H10</f>
        <v/>
      </c>
      <c r="I36" s="60">
        <f>-Drivers!$D$127*I10</f>
        <v/>
      </c>
    </row>
    <row r="37">
      <c r="A37" s="3" t="inlineStr">
        <is>
          <t>Total Adjusted EBITDA (company basis)</t>
        </is>
      </c>
      <c r="B37" s="35">
        <f>B12+B32+B35+B36</f>
        <v/>
      </c>
      <c r="C37" s="35">
        <f>C12+C32+C35+C36</f>
        <v/>
      </c>
      <c r="D37" s="35">
        <f>D12+D32+D35+D36</f>
        <v/>
      </c>
      <c r="E37" s="35">
        <f>SUM(Quarterly!B37:E37)</f>
        <v/>
      </c>
      <c r="F37" s="35">
        <f>SUM(Quarterly!F37:I37)</f>
        <v/>
      </c>
      <c r="G37" s="35">
        <f>G12+G18+G32+G35+G36</f>
        <v/>
      </c>
      <c r="H37" s="35">
        <f>H12+H18+H32+H35+H36</f>
        <v/>
      </c>
      <c r="I37" s="35">
        <f>I12+I18+I32+I35+I36</f>
        <v/>
      </c>
    </row>
    <row r="38">
      <c r="A38" s="3" t="inlineStr">
        <is>
          <t>Segment-basis EBITDA (Aero + Power + Leasing; guide basis)</t>
        </is>
      </c>
      <c r="B38" s="35">
        <f>B12+B32</f>
        <v/>
      </c>
      <c r="C38" s="35">
        <f>C12+C32</f>
        <v/>
      </c>
      <c r="D38" s="35">
        <f>D12+D32</f>
        <v/>
      </c>
      <c r="E38" s="35">
        <f>SUM(Quarterly!B38:E38)</f>
        <v/>
      </c>
      <c r="F38" s="35">
        <f>SUM(Quarterly!F38:I38)</f>
        <v/>
      </c>
      <c r="G38" s="35">
        <f>G12+G18+G32</f>
        <v/>
      </c>
      <c r="H38" s="35">
        <f>H12+H18+H32</f>
        <v/>
      </c>
      <c r="I38" s="35">
        <f>I12+I18+I32</f>
        <v/>
      </c>
      <c r="J38" s="39" t="inlineStr">
        <is>
          <t>FY26 guide 1,525; FY27 guide 2,300</t>
        </is>
      </c>
    </row>
    <row r="39">
      <c r="A39" s="5" t="inlineStr">
        <is>
          <t>Total revenues</t>
        </is>
      </c>
      <c r="B39" s="34">
        <f>Historical!$B$12</f>
        <v/>
      </c>
      <c r="C39" s="34">
        <f>Historical!$C$12</f>
        <v/>
      </c>
      <c r="D39" s="34">
        <f>Historical!$D$12</f>
        <v/>
      </c>
      <c r="E39" s="60">
        <f>SUM(Quarterly!B39:E39)</f>
        <v/>
      </c>
      <c r="F39" s="60">
        <f>SUM(Quarterly!F39:I39)</f>
        <v/>
      </c>
      <c r="G39" s="60">
        <f>G8+G19+G33</f>
        <v/>
      </c>
      <c r="H39" s="60">
        <f>H8+H19+H33</f>
        <v/>
      </c>
      <c r="I39" s="60">
        <f>I8+I19+I33</f>
        <v/>
      </c>
    </row>
    <row r="40">
      <c r="A40" s="5" t="inlineStr">
        <is>
          <t xml:space="preserve">  Adj. EBITDA margin on revenue</t>
        </is>
      </c>
      <c r="B40" s="9">
        <f>IF(B39=0,"",B37/B39)</f>
        <v/>
      </c>
      <c r="C40" s="9">
        <f>IF(C39=0,"",C37/C39)</f>
        <v/>
      </c>
      <c r="D40" s="9">
        <f>IF(D39=0,"",D37/D39)</f>
        <v/>
      </c>
      <c r="E40" s="9">
        <f>IF(E39=0,"",E37/E39)</f>
        <v/>
      </c>
      <c r="F40" s="9">
        <f>IF(F39=0,"",F37/F39)</f>
        <v/>
      </c>
      <c r="G40" s="9">
        <f>G37/G39</f>
        <v/>
      </c>
      <c r="H40" s="9">
        <f>H37/H39</f>
        <v/>
      </c>
      <c r="I40" s="9">
        <f>I37/I39</f>
        <v/>
      </c>
    </row>
    <row r="41">
      <c r="A41" s="10" t="inlineStr">
        <is>
          <t>EPS BRIDGE</t>
        </is>
      </c>
      <c r="B41" s="11" t="n"/>
      <c r="C41" s="11" t="n"/>
      <c r="D41" s="11" t="n"/>
      <c r="E41" s="11" t="n"/>
      <c r="F41" s="11" t="n"/>
      <c r="G41" s="11" t="n"/>
      <c r="H41" s="11" t="n"/>
      <c r="I41" s="11" t="n"/>
      <c r="J41" s="11" t="n"/>
    </row>
    <row r="42">
      <c r="A42" s="5" t="inlineStr">
        <is>
          <t>Total Adjusted EBITDA</t>
        </is>
      </c>
      <c r="B42" s="60">
        <f>B37</f>
        <v/>
      </c>
      <c r="C42" s="60">
        <f>C37</f>
        <v/>
      </c>
      <c r="D42" s="60">
        <f>D37</f>
        <v/>
      </c>
      <c r="E42" s="60">
        <f>SUM(Quarterly!B42:E42)</f>
        <v/>
      </c>
      <c r="F42" s="60">
        <f>SUM(Quarterly!F42:I42)</f>
        <v/>
      </c>
      <c r="G42" s="60">
        <f>G37</f>
        <v/>
      </c>
      <c r="H42" s="60">
        <f>H37</f>
        <v/>
      </c>
      <c r="I42" s="60">
        <f>I37</f>
        <v/>
      </c>
    </row>
    <row r="43">
      <c r="A43" s="5" t="inlineStr">
        <is>
          <t>less: D&amp;A (leasing book + Aerospace capex base)</t>
        </is>
      </c>
      <c r="B43" s="34">
        <f>Historical!$B$21</f>
        <v/>
      </c>
      <c r="C43" s="34">
        <f>Historical!$C$21</f>
        <v/>
      </c>
      <c r="D43" s="34">
        <f>Historical!$D$21</f>
        <v/>
      </c>
      <c r="E43" s="60">
        <f>SUM(Quarterly!B43:E43)</f>
        <v/>
      </c>
      <c r="F43" s="60">
        <f>SUM(Quarterly!F43:I43)</f>
        <v/>
      </c>
      <c r="G43" s="60">
        <f>G23+G44</f>
        <v/>
      </c>
      <c r="H43" s="60">
        <f>H23+H44</f>
        <v/>
      </c>
      <c r="I43" s="60">
        <f>I23+I44</f>
        <v/>
      </c>
    </row>
    <row r="44">
      <c r="A44" s="5" t="inlineStr">
        <is>
          <t xml:space="preserve">  memo: other (non-leasing) D&amp;A</t>
        </is>
      </c>
      <c r="F44" s="60">
        <f>SUM(Quarterly!F44:I44)</f>
        <v/>
      </c>
      <c r="G44" s="60">
        <f>F44+G45/Drivers!$D$130</f>
        <v/>
      </c>
      <c r="H44" s="60">
        <f>G44+H45/Drivers!$D$130</f>
        <v/>
      </c>
      <c r="I44" s="60">
        <f>H44+I45/Drivers!$D$130</f>
        <v/>
      </c>
    </row>
    <row r="45">
      <c r="A45" s="5" t="inlineStr">
        <is>
          <t xml:space="preserve">  memo: PP&amp;E capex</t>
        </is>
      </c>
      <c r="E45" s="60">
        <f>SUM(Quarterly!B45:E45)</f>
        <v/>
      </c>
      <c r="F45" s="60">
        <f>SUM(Quarterly!F45:I45)</f>
        <v/>
      </c>
      <c r="G45" s="34">
        <f>Drivers!J$131</f>
        <v/>
      </c>
      <c r="H45" s="34">
        <f>Drivers!K$131</f>
        <v/>
      </c>
      <c r="I45" s="34">
        <f>Drivers!L$131</f>
        <v/>
      </c>
    </row>
    <row r="46" ht="23" customHeight="1">
      <c r="A46" s="5" t="inlineStr">
        <is>
          <t>less: interest expense (debt schedule)</t>
        </is>
      </c>
      <c r="B46" s="34">
        <f>Historical!$B$22</f>
        <v/>
      </c>
      <c r="C46" s="34">
        <f>Historical!$C$22</f>
        <v/>
      </c>
      <c r="D46" s="34">
        <f>Historical!$D$22</f>
        <v/>
      </c>
      <c r="E46" s="60">
        <f>SUM(Quarterly!B46:E46)</f>
        <v/>
      </c>
      <c r="F46" s="60">
        <f>SUM(Quarterly!F46:I46)</f>
        <v/>
      </c>
      <c r="G46" s="60">
        <f>(Drivers!$D$150-Drivers!$D$145*Drivers!$E$145)+Drivers!$D$145*(Drivers!$E$145*Drivers!$D$143+Drivers!$D$142*(Drivers!$D$21-Drivers!$D$143))/Drivers!$D$21+Drivers!$D$151*Drivers!$D$18+F83*Drivers!$D$141</f>
        <v/>
      </c>
      <c r="H46" s="60">
        <f>(Drivers!$D$150-Drivers!$D$145*Drivers!$E$145)+Drivers!$D$145*Drivers!$D$142+Drivers!$D$151*Drivers!$D$18+G83*Drivers!$D$141</f>
        <v/>
      </c>
      <c r="I46" s="60">
        <f>(Drivers!$D$150-Drivers!$D$145*Drivers!$E$145)+Drivers!$D$145*Drivers!$D$142+Drivers!$D$151*Drivers!$D$18+H83*Drivers!$D$141</f>
        <v/>
      </c>
      <c r="J46" s="39" t="inlineStr">
        <is>
          <t>FY28: 2028 notes ($1.0B, 5.5%) mature 5/1/28 and are refinanced at the refi coupon</t>
        </is>
      </c>
    </row>
    <row r="47">
      <c r="A47" s="5" t="inlineStr">
        <is>
          <t>less: EBITDA-to-pretax adjustments (SCI/Power pro-rata not in pretax, SBC, other)</t>
        </is>
      </c>
      <c r="D47" s="60">
        <f>D48-(D37-D43-D46)</f>
        <v/>
      </c>
      <c r="E47" s="60">
        <f>SUM(Quarterly!B47:E47)</f>
        <v/>
      </c>
      <c r="F47" s="60">
        <f>SUM(Quarterly!F47:I47)</f>
        <v/>
      </c>
      <c r="G47" s="60">
        <f>-(G30*(1-Drivers!$D$153)+Drivers!$D$154*Drivers!$D$18+(1-Drivers!$D$80)*G18)</f>
        <v/>
      </c>
      <c r="H47" s="60">
        <f>-(H30*(1-Drivers!$D$153)+Drivers!$D$154*Drivers!$D$18+(1-Drivers!$D$80)*H18)</f>
        <v/>
      </c>
      <c r="I47" s="60">
        <f>-(I30*(1-Drivers!$D$153)+Drivers!$D$154*Drivers!$D$18+(1-Drivers!$D$80)*I18)</f>
        <v/>
      </c>
    </row>
    <row r="48">
      <c r="A48" s="3" t="inlineStr">
        <is>
          <t>Pre-tax income</t>
        </is>
      </c>
      <c r="D48" s="72">
        <f>Historical!$D$25</f>
        <v/>
      </c>
      <c r="E48" s="35">
        <f>SUM(Quarterly!B48:E48)</f>
        <v/>
      </c>
      <c r="F48" s="35">
        <f>SUM(Quarterly!F48:I48)</f>
        <v/>
      </c>
      <c r="G48" s="35">
        <f>G37-G43-G46+G47</f>
        <v/>
      </c>
      <c r="H48" s="35">
        <f>H37-H43-H46+H47</f>
        <v/>
      </c>
      <c r="I48" s="35">
        <f>I37-I43-I46+I47</f>
        <v/>
      </c>
      <c r="J48" s="39" t="inlineStr">
        <is>
          <t>History FY23/FY24 not parsed</t>
        </is>
      </c>
    </row>
    <row r="49">
      <c r="A49" s="5" t="inlineStr">
        <is>
          <t>Income taxes</t>
        </is>
      </c>
      <c r="D49" s="34">
        <f>Historical!$D$26</f>
        <v/>
      </c>
      <c r="E49" s="60">
        <f>SUM(Quarterly!B49:E49)</f>
        <v/>
      </c>
      <c r="F49" s="60">
        <f>SUM(Quarterly!F49:I49)</f>
        <v/>
      </c>
      <c r="G49" s="60">
        <f>G48*Drivers!$D$133</f>
        <v/>
      </c>
      <c r="H49" s="60">
        <f>H48*Drivers!$D$133</f>
        <v/>
      </c>
      <c r="I49" s="60">
        <f>I48*Drivers!$D$133</f>
        <v/>
      </c>
    </row>
    <row r="50">
      <c r="A50" s="5" t="inlineStr">
        <is>
          <t>Net income</t>
        </is>
      </c>
      <c r="D50" s="34">
        <f>Historical!$D$27</f>
        <v/>
      </c>
      <c r="E50" s="60">
        <f>SUM(Quarterly!B50:E50)</f>
        <v/>
      </c>
      <c r="F50" s="60">
        <f>SUM(Quarterly!F50:I50)</f>
        <v/>
      </c>
      <c r="G50" s="60">
        <f>G48-G49</f>
        <v/>
      </c>
      <c r="H50" s="60">
        <f>H48-H49</f>
        <v/>
      </c>
      <c r="I50" s="60">
        <f>I48-I49</f>
        <v/>
      </c>
    </row>
    <row r="51">
      <c r="A51" s="5" t="inlineStr">
        <is>
          <t>less: preferred dividends and NCI</t>
        </is>
      </c>
      <c r="D51" s="34">
        <f>Historical!$D$29</f>
        <v/>
      </c>
      <c r="E51" s="60">
        <f>SUM(Quarterly!B51:E51)</f>
        <v/>
      </c>
      <c r="F51" s="60">
        <f>SUM(Quarterly!F51:I51)</f>
        <v/>
      </c>
      <c r="G51" s="60">
        <f>Drivers!$D$134*Drivers!$D$18</f>
        <v/>
      </c>
      <c r="H51" s="60">
        <f>Drivers!$D$134*Drivers!$D$18</f>
        <v/>
      </c>
      <c r="I51" s="60">
        <f>Drivers!$D$134*Drivers!$D$18</f>
        <v/>
      </c>
    </row>
    <row r="52">
      <c r="A52" s="3" t="inlineStr">
        <is>
          <t>Net income attributable to common</t>
        </is>
      </c>
      <c r="B52" s="72">
        <f>Historical!$B$28</f>
        <v/>
      </c>
      <c r="C52" s="72">
        <f>Historical!$C$28</f>
        <v/>
      </c>
      <c r="D52" s="72">
        <f>Historical!$D$28</f>
        <v/>
      </c>
      <c r="E52" s="35">
        <f>SUM(Quarterly!B52:E52)</f>
        <v/>
      </c>
      <c r="F52" s="35">
        <f>SUM(Quarterly!F52:I52)</f>
        <v/>
      </c>
      <c r="G52" s="35">
        <f>G50-G51</f>
        <v/>
      </c>
      <c r="H52" s="35">
        <f>H50-H51</f>
        <v/>
      </c>
      <c r="I52" s="35">
        <f>I50-I51</f>
        <v/>
      </c>
    </row>
    <row r="53">
      <c r="A53" s="5" t="inlineStr">
        <is>
          <t>Diluted shares (M)</t>
        </is>
      </c>
      <c r="B53" s="56">
        <f>Historical!$B$31</f>
        <v/>
      </c>
      <c r="C53" s="56">
        <f>Historical!$C$31</f>
        <v/>
      </c>
      <c r="D53" s="56">
        <f>Historical!$D$31</f>
        <v/>
      </c>
      <c r="E53" s="69">
        <f>AVERAGE(Quarterly!B53:E53)</f>
        <v/>
      </c>
      <c r="F53" s="69">
        <f>AVERAGE(Quarterly!F53:I53)</f>
        <v/>
      </c>
      <c r="G53" s="56">
        <f>Quarterly!I53</f>
        <v/>
      </c>
      <c r="H53" s="69">
        <f>G53</f>
        <v/>
      </c>
      <c r="I53" s="69">
        <f>H53</f>
        <v/>
      </c>
    </row>
    <row r="54">
      <c r="A54" s="3" t="inlineStr">
        <is>
          <t>Diluted EPS ($)</t>
        </is>
      </c>
      <c r="B54" s="7">
        <f>Historical!$B$30</f>
        <v/>
      </c>
      <c r="C54" s="7">
        <f>Historical!$C$30</f>
        <v/>
      </c>
      <c r="D54" s="7">
        <f>Historical!$D$30</f>
        <v/>
      </c>
      <c r="E54" s="20">
        <f>E52/E53</f>
        <v/>
      </c>
      <c r="F54" s="20">
        <f>F52/F53</f>
        <v/>
      </c>
      <c r="G54" s="20">
        <f>G52/G53</f>
        <v/>
      </c>
      <c r="H54" s="20">
        <f>H52/H53</f>
        <v/>
      </c>
      <c r="I54" s="20">
        <f>I52/I53</f>
        <v/>
      </c>
    </row>
    <row r="55">
      <c r="A55" s="10" t="inlineStr">
        <is>
          <t>CASH FLOW BUILD (CFO + CFI, GAAP classification combined)</t>
        </is>
      </c>
      <c r="B55" s="11" t="n"/>
      <c r="C55" s="11" t="n"/>
      <c r="D55" s="11" t="n"/>
      <c r="E55" s="11" t="n"/>
      <c r="F55" s="11" t="n"/>
      <c r="G55" s="11" t="n"/>
      <c r="H55" s="11" t="n"/>
      <c r="I55" s="11" t="n"/>
      <c r="J55" s="11" t="n"/>
    </row>
    <row r="56">
      <c r="A56" s="5" t="inlineStr">
        <is>
          <t>Total Adjusted EBITDA</t>
        </is>
      </c>
      <c r="E56" s="60">
        <f>SUM(Quarterly!B56:E56)</f>
        <v/>
      </c>
      <c r="F56" s="60">
        <f>SUM(Quarterly!F56:I56)</f>
        <v/>
      </c>
      <c r="G56" s="60">
        <f>G37</f>
        <v/>
      </c>
      <c r="H56" s="60">
        <f>H37</f>
        <v/>
      </c>
      <c r="I56" s="60">
        <f>I37</f>
        <v/>
      </c>
    </row>
    <row r="57">
      <c r="A57" s="5" t="inlineStr">
        <is>
          <t>less: gains in EBITDA (proceeds sit in CFI)</t>
        </is>
      </c>
      <c r="E57" s="60">
        <f>SUM(Quarterly!B57:E57)</f>
        <v/>
      </c>
      <c r="F57" s="60">
        <f>SUM(Quarterly!F57:I57)</f>
        <v/>
      </c>
      <c r="G57" s="60">
        <f>-G27</f>
        <v/>
      </c>
      <c r="H57" s="60">
        <f>-H27</f>
        <v/>
      </c>
      <c r="I57" s="60">
        <f>-I27</f>
        <v/>
      </c>
    </row>
    <row r="58">
      <c r="A58" s="5" t="inlineStr">
        <is>
          <t>less: pro-rata SCI EBITDA (non-cash)</t>
        </is>
      </c>
      <c r="E58" s="60">
        <f>SUM(Quarterly!B58:E58)</f>
        <v/>
      </c>
      <c r="F58" s="60">
        <f>SUM(Quarterly!F58:I58)</f>
        <v/>
      </c>
      <c r="G58" s="60">
        <f>-G30</f>
        <v/>
      </c>
      <c r="H58" s="60">
        <f>-H30</f>
        <v/>
      </c>
      <c r="I58" s="60">
        <f>-I30</f>
        <v/>
      </c>
    </row>
    <row r="59">
      <c r="A59" s="5" t="inlineStr">
        <is>
          <t>plus: SCI cash distributions (return of capital)</t>
        </is>
      </c>
      <c r="E59" s="60">
        <f>SUM(Quarterly!B59:E59)</f>
        <v/>
      </c>
      <c r="F59" s="60">
        <f>SUM(Quarterly!F59:I59)</f>
        <v/>
      </c>
      <c r="G59" s="60">
        <f>Drivers!$D$119*G30</f>
        <v/>
      </c>
      <c r="H59" s="60">
        <f>Drivers!$D$119*H30</f>
        <v/>
      </c>
      <c r="I59" s="60">
        <f>Drivers!$D$119*I30</f>
        <v/>
      </c>
    </row>
    <row r="60">
      <c r="A60" s="5" t="inlineStr">
        <is>
          <t>less: Power EBITDA not converted to cash</t>
        </is>
      </c>
      <c r="E60" s="60">
        <f>SUM(Quarterly!B60:E60)</f>
        <v/>
      </c>
      <c r="F60" s="60">
        <f>SUM(Quarterly!F60:I60)</f>
        <v/>
      </c>
      <c r="G60" s="60">
        <f>-(1-Drivers!$D$79)*G18</f>
        <v/>
      </c>
      <c r="H60" s="60">
        <f>-(1-Drivers!$D$79)*H18</f>
        <v/>
      </c>
      <c r="I60" s="60">
        <f>-(1-Drivers!$D$79)*I18</f>
        <v/>
      </c>
    </row>
    <row r="61">
      <c r="A61" s="5" t="inlineStr">
        <is>
          <t>less: cash interest</t>
        </is>
      </c>
      <c r="E61" s="60">
        <f>SUM(Quarterly!B61:E61)</f>
        <v/>
      </c>
      <c r="F61" s="60">
        <f>SUM(Quarterly!F61:I61)</f>
        <v/>
      </c>
      <c r="G61" s="60">
        <f>-G46</f>
        <v/>
      </c>
      <c r="H61" s="60">
        <f>-H46</f>
        <v/>
      </c>
      <c r="I61" s="60">
        <f>-I46</f>
        <v/>
      </c>
    </row>
    <row r="62">
      <c r="A62" s="5" t="inlineStr">
        <is>
          <t>less: cash taxes (= book taxes)</t>
        </is>
      </c>
      <c r="E62" s="60">
        <f>SUM(Quarterly!B62:E62)</f>
        <v/>
      </c>
      <c r="F62" s="60">
        <f>SUM(Quarterly!F62:I62)</f>
        <v/>
      </c>
      <c r="G62" s="60">
        <f>-G49</f>
        <v/>
      </c>
      <c r="H62" s="60">
        <f>-H49</f>
        <v/>
      </c>
      <c r="I62" s="60">
        <f>-I49</f>
        <v/>
      </c>
    </row>
    <row r="63">
      <c r="A63" s="5" t="inlineStr">
        <is>
          <t>less: increase in Aerospace inventory  [KEY #2]</t>
        </is>
      </c>
      <c r="E63" s="60">
        <f>SUM(Quarterly!B63:E63)</f>
        <v/>
      </c>
      <c r="F63" s="60">
        <f>SUM(Quarterly!F63:I63)</f>
        <v/>
      </c>
      <c r="G63" s="60">
        <f>-(G86-F86)</f>
        <v/>
      </c>
      <c r="H63" s="60">
        <f>-(H86-G86)</f>
        <v/>
      </c>
      <c r="I63" s="60">
        <f>-(I86-H86)</f>
        <v/>
      </c>
    </row>
    <row r="64">
      <c r="A64" s="5" t="inlineStr">
        <is>
          <t>less: Power turbine working-capital investment (next quarter's units)</t>
        </is>
      </c>
      <c r="E64" s="60">
        <f>SUM(Quarterly!B64:E64)</f>
        <v/>
      </c>
      <c r="F64" s="60">
        <f>SUM(Quarterly!F64:I64)</f>
        <v/>
      </c>
      <c r="G64" s="60">
        <f>-Drivers!$D$78*H16</f>
        <v/>
      </c>
      <c r="H64" s="60">
        <f>-Drivers!$D$78*I16</f>
        <v/>
      </c>
      <c r="I64" s="60">
        <f>-Drivers!$D$78*I16</f>
        <v/>
      </c>
    </row>
    <row r="65">
      <c r="A65" s="5" t="inlineStr">
        <is>
          <t>plus: Power working-capital release on delivery</t>
        </is>
      </c>
      <c r="E65" s="60">
        <f>SUM(Quarterly!B65:E65)</f>
        <v/>
      </c>
      <c r="F65" s="60">
        <f>SUM(Quarterly!F65:I65)</f>
        <v/>
      </c>
      <c r="G65" s="60">
        <f>Drivers!$D$78*G16</f>
        <v/>
      </c>
      <c r="H65" s="60">
        <f>Drivers!$D$78*H16</f>
        <v/>
      </c>
      <c r="I65" s="60">
        <f>Drivers!$D$78*I16</f>
        <v/>
      </c>
    </row>
    <row r="66">
      <c r="A66" s="5" t="inlineStr">
        <is>
          <t>plus: leasing book sold (at book value; gain already in EBITDA)</t>
        </is>
      </c>
      <c r="E66" s="60">
        <f>SUM(Quarterly!B66:E66)</f>
        <v/>
      </c>
      <c r="F66" s="60">
        <f>SUM(Quarterly!F66:I66)</f>
        <v/>
      </c>
      <c r="G66" s="60">
        <f>G22</f>
        <v/>
      </c>
      <c r="H66" s="60">
        <f>H22</f>
        <v/>
      </c>
      <c r="I66" s="60">
        <f>I22</f>
        <v/>
      </c>
    </row>
    <row r="67">
      <c r="A67" s="5" t="inlineStr">
        <is>
          <t>less: leasing equipment acquisitions</t>
        </is>
      </c>
      <c r="E67" s="60">
        <f>SUM(Quarterly!B67:E67)</f>
        <v/>
      </c>
      <c r="F67" s="60">
        <f>SUM(Quarterly!F67:I67)</f>
        <v/>
      </c>
      <c r="G67" s="60">
        <f>-G24</f>
        <v/>
      </c>
      <c r="H67" s="60">
        <f>-H24</f>
        <v/>
      </c>
      <c r="I67" s="60">
        <f>-I24</f>
        <v/>
      </c>
    </row>
    <row r="68">
      <c r="A68" s="5" t="inlineStr">
        <is>
          <t>less: SCI co-investment</t>
        </is>
      </c>
      <c r="E68" s="60">
        <f>SUM(Quarterly!B68:E68)</f>
        <v/>
      </c>
      <c r="F68" s="60">
        <f>SUM(Quarterly!F68:I68)</f>
        <v/>
      </c>
      <c r="G68" s="60">
        <f>-Drivers!$D$120*(G28-F28)</f>
        <v/>
      </c>
      <c r="H68" s="60">
        <f>-Drivers!$D$120*(H28-G28)</f>
        <v/>
      </c>
      <c r="I68" s="60">
        <f>-Drivers!$D$120*(I28-H28)</f>
        <v/>
      </c>
    </row>
    <row r="69">
      <c r="A69" s="5" t="inlineStr">
        <is>
          <t>less: PP&amp;E capex</t>
        </is>
      </c>
      <c r="E69" s="60">
        <f>SUM(Quarterly!B69:E69)</f>
        <v/>
      </c>
      <c r="F69" s="60">
        <f>SUM(Quarterly!F69:I69)</f>
        <v/>
      </c>
      <c r="G69" s="60">
        <f>-G45</f>
        <v/>
      </c>
      <c r="H69" s="60">
        <f>-H45</f>
        <v/>
      </c>
      <c r="I69" s="60">
        <f>-I45</f>
        <v/>
      </c>
    </row>
    <row r="70">
      <c r="A70" s="5" t="inlineStr">
        <is>
          <t>plus: insurance proceeds</t>
        </is>
      </c>
      <c r="E70" s="60">
        <f>SUM(Quarterly!B70:E70)</f>
        <v/>
      </c>
      <c r="F70" s="60">
        <f>SUM(Quarterly!F70:I70)</f>
        <v/>
      </c>
    </row>
    <row r="71">
      <c r="A71" s="3" t="inlineStr">
        <is>
          <t>CFO + CFI (GAAP basis, model)</t>
        </is>
      </c>
      <c r="B71" s="72">
        <f>Historical!$B$50</f>
        <v/>
      </c>
      <c r="C71" s="72">
        <f>Historical!$C$50</f>
        <v/>
      </c>
      <c r="D71" s="72">
        <f>Historical!$D$50</f>
        <v/>
      </c>
      <c r="E71" s="35">
        <f>SUM(Quarterly!B71:E71)</f>
        <v/>
      </c>
      <c r="F71" s="35">
        <f>SUM(Quarterly!F71:I71)</f>
        <v/>
      </c>
      <c r="G71" s="35">
        <f>SUM(G56:G70)</f>
        <v/>
      </c>
      <c r="H71" s="35">
        <f>SUM(H56:H70)</f>
        <v/>
      </c>
      <c r="I71" s="35">
        <f>SUM(I56:I70)</f>
        <v/>
      </c>
      <c r="J71" s="39" t="inlineStr">
        <is>
          <t>History: reported CFO + CFI. Projection: model build (no financing lines)</t>
        </is>
      </c>
    </row>
    <row r="72">
      <c r="A72" s="5" t="inlineStr">
        <is>
          <t xml:space="preserve">  memo: seed-sale proceeds to SCI (one-off)</t>
        </is>
      </c>
      <c r="B72" s="34">
        <f>Historical!$B$52</f>
        <v/>
      </c>
      <c r="C72" s="34">
        <f>Historical!$C$52</f>
        <v/>
      </c>
      <c r="D72" s="34">
        <f>Historical!$D$52</f>
        <v/>
      </c>
      <c r="E72" s="60">
        <f>SUM(Quarterly!B72:E72)</f>
        <v/>
      </c>
      <c r="F72" s="60">
        <f>SUM(Quarterly!F72:I72)</f>
        <v/>
      </c>
      <c r="G72" s="60">
        <f>Drivers!$D$121*G22*(1+Drivers!$D$90)</f>
        <v/>
      </c>
      <c r="H72" s="60">
        <f>Drivers!$D$121*H22*(1+Drivers!$D$90)</f>
        <v/>
      </c>
      <c r="I72" s="60">
        <f>Drivers!$D$121*I22*(1+Drivers!$D$90)</f>
        <v/>
      </c>
    </row>
    <row r="73">
      <c r="A73" s="5" t="inlineStr">
        <is>
          <t xml:space="preserve">  memo: insurance proceeds (one-off)</t>
        </is>
      </c>
      <c r="B73" s="34">
        <f>Historical!$B$53</f>
        <v/>
      </c>
      <c r="C73" s="34">
        <f>Historical!$C$53</f>
        <v/>
      </c>
      <c r="D73" s="34">
        <f>Historical!$D$53</f>
        <v/>
      </c>
      <c r="E73" s="60">
        <f>SUM(Quarterly!B73:E73)</f>
        <v/>
      </c>
      <c r="F73" s="60">
        <f>SUM(Quarterly!F73:I73)</f>
        <v/>
      </c>
    </row>
    <row r="74">
      <c r="A74" s="3" t="inlineStr">
        <is>
          <t>Clean CFO + CFI (excl. seed-sale and insurance proceeds)</t>
        </is>
      </c>
      <c r="B74" s="35">
        <f>B71-N(B72)-N(B73)</f>
        <v/>
      </c>
      <c r="C74" s="35">
        <f>C71-N(C72)-N(C73)</f>
        <v/>
      </c>
      <c r="D74" s="35">
        <f>D71-N(D72)-N(D73)</f>
        <v/>
      </c>
      <c r="E74" s="35">
        <f>SUM(Quarterly!B74:E74)</f>
        <v/>
      </c>
      <c r="F74" s="35">
        <f>SUM(Quarterly!F74:I74)</f>
        <v/>
      </c>
      <c r="G74" s="35">
        <f>G71-N(G72)-N(G73)</f>
        <v/>
      </c>
      <c r="H74" s="35">
        <f>H71-N(H72)-N(H73)</f>
        <v/>
      </c>
      <c r="I74" s="35">
        <f>I71-N(I72)-N(I73)</f>
        <v/>
      </c>
    </row>
    <row r="75" ht="23" customHeight="1">
      <c r="A75" s="3" t="inlineStr">
        <is>
          <t>Company-defined Adjusted FCF (adds back SCI co-invest, NET Power turbine investment, hot-section parts)</t>
        </is>
      </c>
      <c r="D75" s="72">
        <f>Historical!$D$60</f>
        <v/>
      </c>
      <c r="E75" s="35">
        <f>SUM(Quarterly!B75:E75)</f>
        <v/>
      </c>
      <c r="F75" s="35">
        <f>SUM(Quarterly!F75:I75)</f>
        <v/>
      </c>
      <c r="G75" s="35">
        <f>G71-G68+MAX(0,-(G64+G65))+Drivers!$D$177*Drivers!$D$18</f>
        <v/>
      </c>
      <c r="H75" s="35">
        <f>H71-H68+MAX(0,-(H64+H65))+Drivers!$D$177*Drivers!$D$18</f>
        <v/>
      </c>
      <c r="I75" s="35">
        <f>I71-I68+MAX(0,-(I64+I65))+Drivers!$D$177*Drivers!$D$18</f>
        <v/>
      </c>
      <c r="J75" s="39" t="inlineStr">
        <is>
          <t>FY25 reported 724 vs CFO+CFI 412.6 (see FCF_Quality). FY26 = model (1H26 reported 255 + 2H26 model: see FCF_Quality)</t>
        </is>
      </c>
    </row>
    <row r="76">
      <c r="A76" s="10" t="inlineStr">
        <is>
          <t>FINANCING AND BALANCE SHEET ITEMS</t>
        </is>
      </c>
      <c r="B76" s="11" t="n"/>
      <c r="C76" s="11" t="n"/>
      <c r="D76" s="11" t="n"/>
      <c r="E76" s="11" t="n"/>
      <c r="F76" s="11" t="n"/>
      <c r="G76" s="11" t="n"/>
      <c r="H76" s="11" t="n"/>
      <c r="I76" s="11" t="n"/>
      <c r="J76" s="11" t="n"/>
    </row>
    <row r="77">
      <c r="A77" s="5" t="inlineStr">
        <is>
          <t>Common dividends</t>
        </is>
      </c>
      <c r="E77" s="60">
        <f>SUM(Quarterly!B77:E77)</f>
        <v/>
      </c>
      <c r="F77" s="60">
        <f>SUM(Quarterly!F77:I77)</f>
        <v/>
      </c>
      <c r="G77" s="60">
        <f>-Drivers!$D$139*Drivers!$D$18*G53</f>
        <v/>
      </c>
      <c r="H77" s="60">
        <f>-Drivers!$D$139*Drivers!$D$18*H53</f>
        <v/>
      </c>
      <c r="I77" s="60">
        <f>-Drivers!$D$139*Drivers!$D$18*I53</f>
        <v/>
      </c>
    </row>
    <row r="78">
      <c r="A78" s="5" t="inlineStr">
        <is>
          <t>Preferred dividends and NCI (cash)</t>
        </is>
      </c>
      <c r="E78" s="60">
        <f>SUM(Quarterly!B78:E78)</f>
        <v/>
      </c>
      <c r="F78" s="60">
        <f>SUM(Quarterly!F78:I78)</f>
        <v/>
      </c>
      <c r="G78" s="60">
        <f>-G51</f>
        <v/>
      </c>
      <c r="H78" s="60">
        <f>-H51</f>
        <v/>
      </c>
      <c r="I78" s="60">
        <f>-I51</f>
        <v/>
      </c>
    </row>
    <row r="79">
      <c r="A79" s="5" t="inlineStr">
        <is>
          <t>Share buybacks (toggle)</t>
        </is>
      </c>
      <c r="E79" s="60">
        <f>SUM(Quarterly!B79:E79)</f>
        <v/>
      </c>
      <c r="F79" s="60">
        <f>SUM(Quarterly!F79:I79)</f>
        <v/>
      </c>
    </row>
    <row r="80">
      <c r="A80" s="5" t="inlineStr">
        <is>
          <t>Cash before revolver</t>
        </is>
      </c>
      <c r="E80" s="34">
        <f>Quarterly!E80</f>
        <v/>
      </c>
      <c r="F80" s="34">
        <f>Quarterly!I80</f>
        <v/>
      </c>
      <c r="G80" s="60">
        <f>F82+G71+G77+G78</f>
        <v/>
      </c>
      <c r="H80" s="60">
        <f>G82+H71+H77+H78</f>
        <v/>
      </c>
      <c r="I80" s="60">
        <f>H82+I71+I77+I78</f>
        <v/>
      </c>
    </row>
    <row r="81">
      <c r="A81" s="5" t="inlineStr">
        <is>
          <t>Revolver draw / (repayment)</t>
        </is>
      </c>
      <c r="E81" s="60">
        <f>SUM(Quarterly!B81:E81)</f>
        <v/>
      </c>
      <c r="F81" s="60">
        <f>SUM(Quarterly!F81:I81)</f>
        <v/>
      </c>
      <c r="G81" s="60">
        <f>MAX(-F83,Drivers!$D$140-G80)</f>
        <v/>
      </c>
      <c r="H81" s="60">
        <f>MAX(-G83,Drivers!$D$140-H80)</f>
        <v/>
      </c>
      <c r="I81" s="60">
        <f>MAX(-H83,Drivers!$D$140-I80)</f>
        <v/>
      </c>
    </row>
    <row r="82">
      <c r="A82" s="3" t="inlineStr">
        <is>
          <t>Cash, end</t>
        </is>
      </c>
      <c r="B82" s="72">
        <f>Historical!$B$62</f>
        <v/>
      </c>
      <c r="C82" s="72">
        <f>Historical!$C$62</f>
        <v/>
      </c>
      <c r="D82" s="72">
        <f>Historical!$D$62</f>
        <v/>
      </c>
      <c r="E82" s="72">
        <f>Quarterly!E82</f>
        <v/>
      </c>
      <c r="F82" s="72">
        <f>Quarterly!I82</f>
        <v/>
      </c>
      <c r="G82" s="35">
        <f>G80+G81</f>
        <v/>
      </c>
      <c r="H82" s="35">
        <f>H80+H81</f>
        <v/>
      </c>
      <c r="I82" s="35">
        <f>I80+I81</f>
        <v/>
      </c>
    </row>
    <row r="83">
      <c r="A83" s="5" t="inlineStr">
        <is>
          <t>Revolver balance, end</t>
        </is>
      </c>
      <c r="E83" s="34">
        <f>Quarterly!E83</f>
        <v/>
      </c>
      <c r="F83" s="34">
        <f>Quarterly!I83</f>
        <v/>
      </c>
      <c r="G83" s="60">
        <f>F83+G81</f>
        <v/>
      </c>
      <c r="H83" s="60">
        <f>G83+H81</f>
        <v/>
      </c>
      <c r="I83" s="60">
        <f>H83+I81</f>
        <v/>
      </c>
    </row>
    <row r="84">
      <c r="A84" s="5" t="inlineStr">
        <is>
          <t>Senior notes (carrying, before issuance costs)</t>
        </is>
      </c>
      <c r="B84" s="34">
        <f>Historical!$B$68</f>
        <v/>
      </c>
      <c r="C84" s="34">
        <f>Historical!$C$68</f>
        <v/>
      </c>
      <c r="D84" s="34">
        <f>Historical!$D$68</f>
        <v/>
      </c>
      <c r="E84" s="34">
        <f>Quarterly!E84</f>
        <v/>
      </c>
      <c r="F84" s="34">
        <f>Quarterly!I84</f>
        <v/>
      </c>
      <c r="G84" s="60">
        <f>F84</f>
        <v/>
      </c>
      <c r="H84" s="60">
        <f>G84</f>
        <v/>
      </c>
      <c r="I84" s="60">
        <f>H84</f>
        <v/>
      </c>
    </row>
    <row r="85">
      <c r="A85" s="3" t="inlineStr">
        <is>
          <t>Net debt</t>
        </is>
      </c>
      <c r="B85" s="35">
        <f>B84-B82</f>
        <v/>
      </c>
      <c r="C85" s="35">
        <f>C84-C82</f>
        <v/>
      </c>
      <c r="D85" s="35">
        <f>D84-D82</f>
        <v/>
      </c>
      <c r="E85" s="72">
        <f>Quarterly!E85</f>
        <v/>
      </c>
      <c r="F85" s="72">
        <f>Quarterly!I85</f>
        <v/>
      </c>
      <c r="G85" s="35">
        <f>G84+G83-G82</f>
        <v/>
      </c>
      <c r="H85" s="35">
        <f>H84+H83-H82</f>
        <v/>
      </c>
      <c r="I85" s="35">
        <f>I84+I83-I82</f>
        <v/>
      </c>
    </row>
    <row r="86">
      <c r="A86" s="5" t="inlineStr">
        <is>
          <t>Inventory, end</t>
        </is>
      </c>
      <c r="B86" s="34">
        <f>Historical!$B$63</f>
        <v/>
      </c>
      <c r="C86" s="34">
        <f>Historical!$C$63</f>
        <v/>
      </c>
      <c r="D86" s="34">
        <f>Historical!$D$63</f>
        <v/>
      </c>
      <c r="E86" s="34">
        <f>Quarterly!E86</f>
        <v/>
      </c>
      <c r="F86" s="34">
        <f>Quarterly!I86</f>
        <v/>
      </c>
      <c r="G86" s="60">
        <f>G87*G14/Drivers!$D$20</f>
        <v/>
      </c>
      <c r="H86" s="60">
        <f>H87*H14/Drivers!$D$20</f>
        <v/>
      </c>
      <c r="I86" s="60">
        <f>I87*I14/Drivers!$D$20</f>
        <v/>
      </c>
    </row>
    <row r="87">
      <c r="A87" s="5" t="inlineStr">
        <is>
          <t>Inventory days (Aerospace cost-of-sales basis)</t>
        </is>
      </c>
      <c r="B87" s="60">
        <f>B86/B14*Drivers!$D$20</f>
        <v/>
      </c>
      <c r="C87" s="60">
        <f>C86/C14*Drivers!$D$20</f>
        <v/>
      </c>
      <c r="D87" s="60">
        <f>D86/D14*Drivers!$D$20</f>
        <v/>
      </c>
      <c r="E87" s="60">
        <f>E86/E14*Drivers!$D$20</f>
        <v/>
      </c>
      <c r="F87" s="60">
        <f>F86/F14*Drivers!$D$20</f>
        <v/>
      </c>
      <c r="G87" s="60">
        <f>F87+Drivers!J$175</f>
        <v/>
      </c>
      <c r="H87" s="60">
        <f>G87+Drivers!K$175</f>
        <v/>
      </c>
      <c r="I87" s="60">
        <f>H87+Drivers!L$175</f>
        <v/>
      </c>
    </row>
    <row r="88"/>
  </sheetData>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80" customWidth="1" min="10" max="10"/>
  </cols>
  <sheetData>
    <row r="1">
      <c r="A1" s="1" t="inlineStr">
        <is>
          <t>FCF quality: the thesis tab (three ways to count cash)</t>
        </is>
      </c>
    </row>
    <row r="2">
      <c r="A2" s="2" t="inlineStr">
        <is>
          <t>(a) company 'Adjusted FCF'; (b) GAAP CFO + CFI; (c) clean CFO + CFI excluding seed-sale proceeds and insurance recoveries. Projection columns follow the selected scenario.</t>
        </is>
      </c>
    </row>
    <row r="4">
      <c r="A4" s="13" t="inlineStr">
        <is>
          <t>USD m</t>
        </is>
      </c>
      <c r="B4" s="14" t="inlineStr">
        <is>
          <t>FY2023A</t>
        </is>
      </c>
      <c r="C4" s="14" t="inlineStr">
        <is>
          <t>FY2024A</t>
        </is>
      </c>
      <c r="D4" s="14" t="inlineStr">
        <is>
          <t>FY2025A</t>
        </is>
      </c>
      <c r="E4" s="14" t="inlineStr">
        <is>
          <t>FY2026E</t>
        </is>
      </c>
      <c r="F4" s="14" t="inlineStr">
        <is>
          <t>FY2027E</t>
        </is>
      </c>
      <c r="G4" s="14" t="inlineStr">
        <is>
          <t>FY2028E</t>
        </is>
      </c>
      <c r="H4" s="14" t="inlineStr">
        <is>
          <t>FY2029E</t>
        </is>
      </c>
      <c r="I4" s="14" t="inlineStr">
        <is>
          <t>FY2030E</t>
        </is>
      </c>
      <c r="J4" s="14" t="inlineStr">
        <is>
          <t>Notes</t>
        </is>
      </c>
    </row>
    <row r="5">
      <c r="A5" s="10" t="inlineStr">
        <is>
          <t>Three definitions by year</t>
        </is>
      </c>
      <c r="B5" s="11" t="n"/>
      <c r="C5" s="11" t="n"/>
      <c r="D5" s="11" t="n"/>
      <c r="E5" s="11" t="n"/>
      <c r="F5" s="11" t="n"/>
      <c r="G5" s="11" t="n"/>
      <c r="H5" s="11" t="n"/>
      <c r="I5" s="11" t="n"/>
      <c r="J5" s="11" t="n"/>
    </row>
    <row r="6">
      <c r="A6" s="5" t="inlineStr">
        <is>
          <t>Reported CFO (history) / n.a. in projections (model builds CFO + CFI combined)</t>
        </is>
      </c>
      <c r="B6" s="34">
        <f>Historical!$B$48</f>
        <v/>
      </c>
      <c r="C6" s="34">
        <f>Historical!$C$48</f>
        <v/>
      </c>
      <c r="D6" s="34">
        <f>Historical!$D$48</f>
        <v/>
      </c>
    </row>
    <row r="7">
      <c r="A7" s="5" t="inlineStr">
        <is>
          <t>Reported CFI (history)</t>
        </is>
      </c>
      <c r="B7" s="34">
        <f>Historical!$B$49</f>
        <v/>
      </c>
      <c r="C7" s="34">
        <f>Historical!$C$49</f>
        <v/>
      </c>
      <c r="D7" s="34">
        <f>Historical!$D$49</f>
        <v/>
      </c>
    </row>
    <row r="8">
      <c r="A8" s="3" t="inlineStr">
        <is>
          <t>(b) GAAP CFO + CFI</t>
        </is>
      </c>
      <c r="B8" s="72">
        <f>Annual!B71</f>
        <v/>
      </c>
      <c r="C8" s="72">
        <f>Annual!C71</f>
        <v/>
      </c>
      <c r="D8" s="72">
        <f>Annual!D71</f>
        <v/>
      </c>
      <c r="E8" s="72">
        <f>Annual!E71</f>
        <v/>
      </c>
      <c r="F8" s="72">
        <f>Annual!F71</f>
        <v/>
      </c>
      <c r="G8" s="72">
        <f>Annual!G71</f>
        <v/>
      </c>
      <c r="H8" s="72">
        <f>Annual!H71</f>
        <v/>
      </c>
      <c r="I8" s="72">
        <f>Annual!I71</f>
        <v/>
      </c>
      <c r="J8" s="39" t="inlineStr">
        <is>
          <t>FY25 CFO -310.7 and CFI +723.3 tie to filings</t>
        </is>
      </c>
    </row>
    <row r="9">
      <c r="A9" s="5" t="inlineStr">
        <is>
          <t xml:space="preserve">  less: seed-sale proceeds to 2025 Partnership / SCI</t>
        </is>
      </c>
      <c r="B9" s="60">
        <f>-N(Annual!B72)</f>
        <v/>
      </c>
      <c r="C9" s="60">
        <f>-N(Annual!C72)</f>
        <v/>
      </c>
      <c r="D9" s="60">
        <f>-N(Annual!D72)</f>
        <v/>
      </c>
      <c r="E9" s="60">
        <f>-N(Annual!E72)</f>
        <v/>
      </c>
      <c r="F9" s="60">
        <f>-N(Annual!F72)</f>
        <v/>
      </c>
      <c r="G9" s="60">
        <f>-N(Annual!G72)</f>
        <v/>
      </c>
      <c r="H9" s="60">
        <f>-N(Annual!H72)</f>
        <v/>
      </c>
      <c r="I9" s="60">
        <f>-N(Annual!I72)</f>
        <v/>
      </c>
    </row>
    <row r="10">
      <c r="A10" s="5" t="inlineStr">
        <is>
          <t xml:space="preserve">  less: insurance proceeds (Russia)</t>
        </is>
      </c>
      <c r="B10" s="60">
        <f>-N(Annual!B73)</f>
        <v/>
      </c>
      <c r="C10" s="60">
        <f>-N(Annual!C73)</f>
        <v/>
      </c>
      <c r="D10" s="60">
        <f>-N(Annual!D73)</f>
        <v/>
      </c>
      <c r="E10" s="60">
        <f>-N(Annual!E73)</f>
        <v/>
      </c>
      <c r="F10" s="60">
        <f>-N(Annual!F73)</f>
        <v/>
      </c>
      <c r="G10" s="60">
        <f>-N(Annual!G73)</f>
        <v/>
      </c>
      <c r="H10" s="60">
        <f>-N(Annual!H73)</f>
        <v/>
      </c>
      <c r="I10" s="60">
        <f>-N(Annual!I73)</f>
        <v/>
      </c>
    </row>
    <row r="11">
      <c r="A11" s="3" t="inlineStr">
        <is>
          <t>(c) Clean CFO + CFI</t>
        </is>
      </c>
      <c r="B11" s="35">
        <f>B8+B9+B10</f>
        <v/>
      </c>
      <c r="C11" s="35">
        <f>C8+C9+C10</f>
        <v/>
      </c>
      <c r="D11" s="35">
        <f>D8+D9+D10</f>
        <v/>
      </c>
      <c r="E11" s="35">
        <f>E8+E9+E10</f>
        <v/>
      </c>
      <c r="F11" s="35">
        <f>F8+F9+F10</f>
        <v/>
      </c>
      <c r="G11" s="35">
        <f>G8+G9+G10</f>
        <v/>
      </c>
      <c r="H11" s="35">
        <f>H8+H9+H10</f>
        <v/>
      </c>
      <c r="I11" s="35">
        <f>I8+I9+I10</f>
        <v/>
      </c>
    </row>
    <row r="12">
      <c r="A12" s="3" t="inlineStr">
        <is>
          <t>(a) Company-defined Adjusted FCF</t>
        </is>
      </c>
      <c r="D12" s="72">
        <f>Annual!D75</f>
        <v/>
      </c>
      <c r="E12" s="72">
        <f>Annual!E75</f>
        <v/>
      </c>
      <c r="F12" s="72">
        <f>Annual!F75</f>
        <v/>
      </c>
      <c r="G12" s="72">
        <f>Annual!G75</f>
        <v/>
      </c>
      <c r="H12" s="72">
        <f>Annual!H75</f>
        <v/>
      </c>
      <c r="I12" s="72">
        <f>Annual!I75</f>
        <v/>
      </c>
      <c r="J12" s="39" t="inlineStr">
        <is>
          <t>FY25 724 reported (call). FY26 = 1H26 reported 255 + 2H26 model on FY25-style add-backs</t>
        </is>
      </c>
    </row>
    <row r="13">
      <c r="A13" s="5" t="inlineStr">
        <is>
          <t>Gap: (a) less (b) = add-backs of growth investment</t>
        </is>
      </c>
      <c r="D13" s="60">
        <f>D12-D8</f>
        <v/>
      </c>
      <c r="E13" s="60">
        <f>E12-E8</f>
        <v/>
      </c>
      <c r="F13" s="60">
        <f>F12-F8</f>
        <v/>
      </c>
      <c r="G13" s="60">
        <f>G12-G8</f>
        <v/>
      </c>
      <c r="H13" s="60">
        <f>H12-H8</f>
        <v/>
      </c>
      <c r="I13" s="60">
        <f>I12-I8</f>
        <v/>
      </c>
    </row>
    <row r="14">
      <c r="A14" s="5" t="inlineStr">
        <is>
          <t>Gap: (a) less (c)</t>
        </is>
      </c>
      <c r="D14" s="60">
        <f>D12-D11</f>
        <v/>
      </c>
      <c r="E14" s="60">
        <f>E12-E11</f>
        <v/>
      </c>
      <c r="F14" s="60">
        <f>F12-F11</f>
        <v/>
      </c>
      <c r="G14" s="60">
        <f>G12-G11</f>
        <v/>
      </c>
      <c r="H14" s="60">
        <f>H12-H11</f>
        <v/>
      </c>
      <c r="I14" s="60">
        <f>I12-I11</f>
        <v/>
      </c>
    </row>
    <row r="15">
      <c r="A15" s="5" t="inlineStr">
        <is>
          <t>Total Adjusted EBITDA (company basis)</t>
        </is>
      </c>
      <c r="B15" s="34">
        <f>Annual!B37</f>
        <v/>
      </c>
      <c r="C15" s="34">
        <f>Annual!C37</f>
        <v/>
      </c>
      <c r="D15" s="34">
        <f>Annual!D37</f>
        <v/>
      </c>
      <c r="E15" s="34">
        <f>Annual!E37</f>
        <v/>
      </c>
      <c r="F15" s="34">
        <f>Annual!F37</f>
        <v/>
      </c>
      <c r="G15" s="34">
        <f>Annual!G37</f>
        <v/>
      </c>
      <c r="H15" s="34">
        <f>Annual!H37</f>
        <v/>
      </c>
      <c r="I15" s="34">
        <f>Annual!I37</f>
        <v/>
      </c>
    </row>
    <row r="16">
      <c r="A16" s="5" t="inlineStr">
        <is>
          <t>(b) / Adjusted EBITDA</t>
        </is>
      </c>
      <c r="B16" s="9">
        <f>B8/B15</f>
        <v/>
      </c>
      <c r="C16" s="9">
        <f>C8/C15</f>
        <v/>
      </c>
      <c r="D16" s="9">
        <f>D8/D15</f>
        <v/>
      </c>
      <c r="E16" s="9">
        <f>E8/E15</f>
        <v/>
      </c>
      <c r="F16" s="9">
        <f>F8/F15</f>
        <v/>
      </c>
      <c r="G16" s="9">
        <f>G8/G15</f>
        <v/>
      </c>
      <c r="H16" s="9">
        <f>H8/H15</f>
        <v/>
      </c>
      <c r="I16" s="9">
        <f>I8/I15</f>
        <v/>
      </c>
    </row>
    <row r="17">
      <c r="A17" s="5" t="inlineStr">
        <is>
          <t>(c) / Adjusted EBITDA</t>
        </is>
      </c>
      <c r="B17" s="9">
        <f>B11/B15</f>
        <v/>
      </c>
      <c r="C17" s="9">
        <f>C11/C15</f>
        <v/>
      </c>
      <c r="D17" s="9">
        <f>D11/D15</f>
        <v/>
      </c>
      <c r="E17" s="9">
        <f>E11/E15</f>
        <v/>
      </c>
      <c r="F17" s="9">
        <f>F11/F15</f>
        <v/>
      </c>
      <c r="G17" s="9">
        <f>G11/G15</f>
        <v/>
      </c>
      <c r="H17" s="9">
        <f>H11/H15</f>
        <v/>
      </c>
      <c r="I17" s="9">
        <f>I11/I15</f>
        <v/>
      </c>
    </row>
    <row r="18">
      <c r="A18" s="5" t="inlineStr">
        <is>
          <t>(a) / Adjusted EBITDA</t>
        </is>
      </c>
      <c r="D18" s="9">
        <f>D12/D15</f>
        <v/>
      </c>
      <c r="E18" s="9">
        <f>E12/E15</f>
        <v/>
      </c>
      <c r="F18" s="9">
        <f>F12/F15</f>
        <v/>
      </c>
      <c r="G18" s="9">
        <f>G12/G15</f>
        <v/>
      </c>
      <c r="H18" s="9">
        <f>H12/H15</f>
        <v/>
      </c>
      <c r="I18" s="9">
        <f>I12/I15</f>
        <v/>
      </c>
    </row>
    <row r="19">
      <c r="A19" s="5" t="inlineStr">
        <is>
          <t>(a) yield on market cap</t>
        </is>
      </c>
      <c r="D19" s="9">
        <f>D12/Drivers!$D$182</f>
        <v/>
      </c>
      <c r="E19" s="9">
        <f>E12/Drivers!$D$182</f>
        <v/>
      </c>
      <c r="F19" s="9">
        <f>F12/Drivers!$D$182</f>
        <v/>
      </c>
      <c r="G19" s="9">
        <f>G12/Drivers!$D$182</f>
        <v/>
      </c>
      <c r="H19" s="9">
        <f>H12/Drivers!$D$182</f>
        <v/>
      </c>
      <c r="I19" s="9">
        <f>I12/Drivers!$D$182</f>
        <v/>
      </c>
      <c r="J19" s="39" t="inlineStr">
        <is>
          <t>Management guide 878 / market cap 18,430 = 4.8% (vs peers 2.4-3.3%)</t>
        </is>
      </c>
    </row>
    <row r="20">
      <c r="A20" s="5" t="inlineStr">
        <is>
          <t>(c) yield on market cap</t>
        </is>
      </c>
      <c r="B20" s="9">
        <f>B11/Drivers!$D$182</f>
        <v/>
      </c>
      <c r="C20" s="9">
        <f>C11/Drivers!$D$182</f>
        <v/>
      </c>
      <c r="D20" s="9">
        <f>D11/Drivers!$D$182</f>
        <v/>
      </c>
      <c r="E20" s="9">
        <f>E11/Drivers!$D$182</f>
        <v/>
      </c>
      <c r="F20" s="9">
        <f>F11/Drivers!$D$182</f>
        <v/>
      </c>
      <c r="G20" s="9">
        <f>G11/Drivers!$D$182</f>
        <v/>
      </c>
      <c r="H20" s="9">
        <f>H11/Drivers!$D$182</f>
        <v/>
      </c>
      <c r="I20" s="9">
        <f>I11/Drivers!$D$182</f>
        <v/>
      </c>
    </row>
    <row r="21"/>
    <row r="22">
      <c r="A22" s="10" t="inlineStr">
        <is>
          <t>SCI: pro-rata EBITDA counted in Adj. EBITDA vs cash actually distributed</t>
        </is>
      </c>
      <c r="B22" s="11" t="n"/>
      <c r="C22" s="11" t="n"/>
      <c r="D22" s="11" t="n"/>
      <c r="E22" s="11" t="n"/>
      <c r="F22" s="11" t="n"/>
      <c r="G22" s="11" t="n"/>
      <c r="H22" s="11" t="n"/>
      <c r="I22" s="11" t="n"/>
      <c r="J22" s="11" t="n"/>
    </row>
    <row r="23">
      <c r="A23" s="5" t="inlineStr">
        <is>
          <t>Pro-rata SCI EBITDA and co-invest returns (non-cash)</t>
        </is>
      </c>
      <c r="E23" s="34">
        <f>Annual!E30</f>
        <v/>
      </c>
      <c r="F23" s="34">
        <f>Annual!F30</f>
        <v/>
      </c>
      <c r="G23" s="34">
        <f>Annual!G30</f>
        <v/>
      </c>
      <c r="H23" s="34">
        <f>Annual!H30</f>
        <v/>
      </c>
      <c r="I23" s="34">
        <f>Annual!I30</f>
        <v/>
      </c>
      <c r="J23" s="39" t="inlineStr">
        <is>
          <t>FY26 includes 1H26 assumed 28.0/qtr (call 35 less 7.0 fees)</t>
        </is>
      </c>
    </row>
    <row r="24" ht="23" customHeight="1">
      <c r="A24" s="5" t="inlineStr">
        <is>
          <t>Cash distributions from SCI (return of capital, CFI)</t>
        </is>
      </c>
      <c r="D24" s="34">
        <f>Historical!$D$57</f>
        <v/>
      </c>
      <c r="E24" s="60">
        <f>Historical!$M$57+Historical!$N$57+SUM(Quarterly!D59:E59)</f>
        <v/>
      </c>
      <c r="F24" s="34">
        <f>Annual!F59</f>
        <v/>
      </c>
      <c r="G24" s="34">
        <f>Annual!G59</f>
        <v/>
      </c>
      <c r="H24" s="34">
        <f>Annual!H59</f>
        <v/>
      </c>
      <c r="I24" s="34">
        <f>Annual!I59</f>
        <v/>
      </c>
      <c r="J24" s="39" t="inlineStr">
        <is>
          <t>FY25 27.1 'return of capital' (carried from prior research). Pro-rata EBITDA for FY25 not disclosed by component</t>
        </is>
      </c>
    </row>
    <row r="25">
      <c r="A25" s="3" t="inlineStr">
        <is>
          <t>Gap: EBITDA counted but not received in cash</t>
        </is>
      </c>
      <c r="E25" s="35">
        <f>E23-E24</f>
        <v/>
      </c>
      <c r="F25" s="35">
        <f>F23-F24</f>
        <v/>
      </c>
      <c r="G25" s="35">
        <f>G23-G24</f>
        <v/>
      </c>
      <c r="H25" s="35">
        <f>H23-H24</f>
        <v/>
      </c>
      <c r="I25" s="35">
        <f>I23-I24</f>
        <v/>
      </c>
    </row>
    <row r="26">
      <c r="A26" s="5" t="inlineStr">
        <is>
          <t>Cash distributions as % of pro-rata EBITDA</t>
        </is>
      </c>
      <c r="E26" s="9">
        <f>E24/E23</f>
        <v/>
      </c>
      <c r="F26" s="9">
        <f>F24/F23</f>
        <v/>
      </c>
      <c r="G26" s="9">
        <f>G24/G23</f>
        <v/>
      </c>
      <c r="H26" s="9">
        <f>H24/H23</f>
        <v/>
      </c>
      <c r="I26" s="9">
        <f>I24/I23</f>
        <v/>
      </c>
    </row>
    <row r="27"/>
    <row r="28">
      <c r="A28" s="10" t="inlineStr">
        <is>
          <t>FY25 reconciliation: $724M Adjusted FCF to $412.6M CFO + CFI</t>
        </is>
      </c>
      <c r="B28" s="11" t="n"/>
      <c r="C28" s="11" t="n"/>
      <c r="D28" s="11" t="n"/>
      <c r="E28" s="11" t="n"/>
      <c r="F28" s="11" t="n"/>
      <c r="G28" s="11" t="n"/>
      <c r="H28" s="11" t="n"/>
      <c r="I28" s="11" t="n"/>
      <c r="J28" s="11" t="n"/>
    </row>
    <row r="29">
      <c r="A29" s="5" t="inlineStr">
        <is>
          <t>Company Adjusted FCF, FY25</t>
        </is>
      </c>
      <c r="B29" s="34">
        <f>Historical!$D$60</f>
        <v/>
      </c>
      <c r="J29" s="39" t="inlineStr">
        <is>
          <t>Q4-25 call (Motley Fool transcript 2026-02-26), secondary</t>
        </is>
      </c>
    </row>
    <row r="30">
      <c r="A30" s="5" t="inlineStr">
        <is>
          <t>less: GAAP CFO + CFI</t>
        </is>
      </c>
      <c r="B30" s="60">
        <f>-Historical!$D$50</f>
        <v/>
      </c>
      <c r="J30" s="39" t="inlineStr">
        <is>
          <t>CFO -310.7 + CFI +723.3 (10-K FY25)</t>
        </is>
      </c>
    </row>
    <row r="31">
      <c r="A31" s="3" t="inlineStr">
        <is>
          <t>Gap to explain</t>
        </is>
      </c>
      <c r="B31" s="35">
        <f>B29+B30</f>
        <v/>
      </c>
      <c r="J31" s="39" t="inlineStr"/>
    </row>
    <row r="32">
      <c r="A32" s="5" t="inlineStr">
        <is>
          <t xml:space="preserve">  named by CFO: increase in SCI co-investment</t>
        </is>
      </c>
      <c r="B32" s="40" t="n">
        <v>52</v>
      </c>
      <c r="J32" s="39" t="inlineStr">
        <is>
          <t>Q4-25 call: 'further adjusted for 3 key investments'</t>
        </is>
      </c>
    </row>
    <row r="33">
      <c r="A33" s="5" t="inlineStr">
        <is>
          <t xml:space="preserve">  named by CFO: Power turbines</t>
        </is>
      </c>
      <c r="B33" s="40" t="n">
        <v>150</v>
      </c>
      <c r="J33" s="39" t="inlineStr">
        <is>
          <t>Q4-25 call</t>
        </is>
      </c>
    </row>
    <row r="34">
      <c r="A34" s="5" t="inlineStr">
        <is>
          <t xml:space="preserve">  named by CFO: hot-section parts</t>
        </is>
      </c>
      <c r="B34" s="40" t="n">
        <v>50</v>
      </c>
      <c r="J34" s="39" t="inlineStr">
        <is>
          <t>Q4-25 call</t>
        </is>
      </c>
    </row>
    <row r="35">
      <c r="A35" s="3" t="inlineStr">
        <is>
          <t xml:space="preserve">  subtotal named by the CFO</t>
        </is>
      </c>
      <c r="B35" s="35">
        <f>SUM(B32:B34)</f>
        <v/>
      </c>
      <c r="J35" s="39" t="inlineStr"/>
    </row>
    <row r="36">
      <c r="A36" s="21" t="inlineStr">
        <is>
          <t xml:space="preserve">  residual: INFERRED (probably acquisitions 49.1 + ~10 JV item), NOT CONFIRMED</t>
        </is>
      </c>
      <c r="B36" s="35">
        <f>B31-B35</f>
        <v/>
      </c>
      <c r="J36" s="39" t="inlineStr"/>
    </row>
    <row r="37">
      <c r="A37" s="5" t="inlineStr">
        <is>
          <t xml:space="preserve">  of the gap, inventory-type purchases (Power turbines + hot-section parts)</t>
        </is>
      </c>
      <c r="B37" s="60">
        <f>B33+B34</f>
        <v/>
      </c>
      <c r="J37" s="39" t="inlineStr">
        <is>
          <t>~$200M of the add-backs are the same inventory-type items that drive negative GAAP CFO</t>
        </is>
      </c>
    </row>
    <row r="38"/>
    <row r="39">
      <c r="A39" s="10" t="inlineStr">
        <is>
          <t>1H26: what cash looks like without the one-offs</t>
        </is>
      </c>
      <c r="B39" s="11" t="n"/>
      <c r="C39" s="11" t="n"/>
      <c r="D39" s="11" t="n"/>
      <c r="E39" s="11" t="n"/>
      <c r="F39" s="11" t="n"/>
      <c r="G39" s="11" t="n"/>
      <c r="H39" s="11" t="n"/>
      <c r="I39" s="11" t="n"/>
      <c r="J39" s="11" t="n"/>
    </row>
    <row r="40">
      <c r="A40" s="5" t="inlineStr">
        <is>
          <t>1H26 CFO</t>
        </is>
      </c>
      <c r="B40" s="60">
        <f>Historical!$M$48+Historical!$N$48</f>
        <v/>
      </c>
      <c r="J40" s="39" t="inlineStr">
        <is>
          <t>-160.1 + -105.2 = -265.3</t>
        </is>
      </c>
    </row>
    <row r="41">
      <c r="A41" s="5" t="inlineStr">
        <is>
          <t>1H26 CFI</t>
        </is>
      </c>
      <c r="B41" s="60">
        <f>Historical!$M$49+Historical!$N$49</f>
        <v/>
      </c>
      <c r="J41" s="39" t="inlineStr">
        <is>
          <t>317.0 + 198.7 = 515.7</t>
        </is>
      </c>
    </row>
    <row r="42">
      <c r="A42" s="3" t="inlineStr">
        <is>
          <t>1H26 CFO + CFI</t>
        </is>
      </c>
      <c r="B42" s="35">
        <f>B40+B41</f>
        <v/>
      </c>
      <c r="J42" s="39" t="inlineStr">
        <is>
          <t>250.4</t>
        </is>
      </c>
    </row>
    <row r="43">
      <c r="A43" s="5" t="inlineStr">
        <is>
          <t xml:space="preserve">  less: seed-sale proceeds (15 aircraft to 2025 Partnership)</t>
        </is>
      </c>
      <c r="B43" s="60">
        <f>-(Historical!$M$52+Historical!$N$52)</f>
        <v/>
      </c>
      <c r="J43" s="39" t="inlineStr">
        <is>
          <t>175.7; 10-Q: sales 'non-recurring in nature'</t>
        </is>
      </c>
    </row>
    <row r="44">
      <c r="A44" s="5" t="inlineStr">
        <is>
          <t xml:space="preserve">  less: Russia insurance proceeds</t>
        </is>
      </c>
      <c r="B44" s="60">
        <f>-(Historical!$M$53+Historical!$N$53)</f>
        <v/>
      </c>
      <c r="J44" s="39" t="inlineStr">
        <is>
          <t>48.3 (CFI proceeds, not the CFO gain add-back of 49.5)</t>
        </is>
      </c>
    </row>
    <row r="45">
      <c r="A45" s="3" t="inlineStr">
        <is>
          <t>1H26 clean CFO + CFI</t>
        </is>
      </c>
      <c r="B45" s="35">
        <f>B42+B43+B44</f>
        <v/>
      </c>
      <c r="J45" s="39" t="inlineStr">
        <is>
          <t>~26.4, AFTER the inventory build below</t>
        </is>
      </c>
    </row>
    <row r="46">
      <c r="A46" s="5" t="inlineStr">
        <is>
          <t>memo: inventory build 1H26 (balance sheet)</t>
        </is>
      </c>
      <c r="B46" s="60">
        <f>Historical!$N$63-Historical!$L$63</f>
        <v/>
      </c>
      <c r="J46" s="39" t="inlineStr">
        <is>
          <t>1,544.6 - 1,193.8 = 350.8. Includes 63 engines transferred in from leasing (non-cash)</t>
        </is>
      </c>
    </row>
    <row r="47">
      <c r="A47" s="5" t="inlineStr">
        <is>
          <t>Company-reported Adjusted FCF, 1H26</t>
        </is>
      </c>
      <c r="B47" s="40" t="n">
        <v>255</v>
      </c>
      <c r="J47" s="39" t="inlineStr">
        <is>
          <t>Q2-26 call (secondary): 255; Q1 158</t>
        </is>
      </c>
    </row>
    <row r="48" ht="23" customHeight="1">
      <c r="A48" s="5" t="inlineStr">
        <is>
          <t xml:space="preserve">  Adjusted FCF less CFO + CFI in 1H26 (add-backs actually applied)</t>
        </is>
      </c>
      <c r="B48" s="60">
        <f>B47-B42</f>
        <v/>
      </c>
      <c r="J48" s="39" t="inlineStr">
        <is>
          <t>Only ~4.6 in 1H26 despite ~99 of SCI investment: the add-back definition is NOT consistent with FY25's</t>
        </is>
      </c>
    </row>
    <row r="49">
      <c r="A49" s="5" t="inlineStr">
        <is>
          <t>FY26 Adjusted FCF guide (cut from 915 on 7/29/26)</t>
        </is>
      </c>
      <c r="B49" s="40" t="n">
        <v>878</v>
      </c>
      <c r="J49" s="39" t="inlineStr">
        <is>
          <t>Q2-26 call (secondary)</t>
        </is>
      </c>
    </row>
    <row r="50">
      <c r="A50" s="3" t="inlineStr">
        <is>
          <t>2H26 Adjusted FCF required to hit the guide</t>
        </is>
      </c>
      <c r="B50" s="35">
        <f>B49-B47</f>
        <v/>
      </c>
      <c r="J50" s="39" t="inlineStr">
        <is>
          <t>~623</t>
        </is>
      </c>
    </row>
    <row r="51">
      <c r="A51" s="5" t="inlineStr">
        <is>
          <t>Q2'26 Adjusted FCF run-rate x 2</t>
        </is>
      </c>
      <c r="B51" s="60">
        <f>Drivers!$D$22*Historical!$N$60</f>
        <v/>
      </c>
      <c r="J51" s="39" t="inlineStr">
        <is>
          <t>~194: the guide needs ~3.2x the Q2 run-rate</t>
        </is>
      </c>
    </row>
    <row r="52">
      <c r="A52" s="5" t="inlineStr">
        <is>
          <t>Required / run-rate</t>
        </is>
      </c>
      <c r="B52" s="75">
        <f>B50/B51</f>
        <v/>
      </c>
      <c r="J52" s="39" t="inlineStr"/>
    </row>
    <row r="53">
      <c r="A53" s="3" t="inlineStr">
        <is>
          <t>Model 2H26: company-defined Adjusted FCF (FY25-style add-backs)  [selected scenario]</t>
        </is>
      </c>
      <c r="B53" s="35">
        <f>SUM(Quarterly!D75:E75)</f>
        <v/>
      </c>
      <c r="J53" s="39" t="inlineStr">
        <is>
          <t>Back-solved to hit 878 in the Mgmt Guide scenario via KEY #2 (inventory conversion)</t>
        </is>
      </c>
    </row>
    <row r="54" ht="23" customHeight="1">
      <c r="A54" s="5" t="inlineStr">
        <is>
          <t>Model 2H26: GAAP CFO + CFI  [selected scenario]</t>
        </is>
      </c>
      <c r="B54" s="60">
        <f>SUM(Quarterly!D71:E71)</f>
        <v/>
      </c>
      <c r="J54" s="39" t="inlineStr">
        <is>
          <t>Compare with the 623 required: on the narrow 1H26-style definition (add-backs ~5) the guide needs ~619-623 of GAAP CFO + CFI in 2H</t>
        </is>
      </c>
    </row>
    <row r="55">
      <c r="A55" s="5" t="inlineStr">
        <is>
          <t>Model 2H26: clean CFO + CFI  [selected scenario]</t>
        </is>
      </c>
      <c r="B55" s="60">
        <f>SUM(Quarterly!D74:E74)</f>
        <v/>
      </c>
      <c r="J55" s="39" t="inlineStr"/>
    </row>
    <row r="56">
      <c r="A56" s="3" t="inlineStr">
        <is>
          <t>2H26 GAAP CFO + CFI required if add-backs stay at the 1H26 level</t>
        </is>
      </c>
      <c r="B56" s="35">
        <f>B49-B48-B42</f>
        <v/>
      </c>
      <c r="J56" s="39" t="inlineStr">
        <is>
          <t>Narrow basis: 878 less 4.6 less 250.4 = ~623</t>
        </is>
      </c>
    </row>
    <row r="57"/>
  </sheetData>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H10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3" customWidth="1" min="2" max="2"/>
    <col width="13" customWidth="1" min="3" max="3"/>
    <col width="13" customWidth="1" min="4" max="4"/>
    <col width="13" customWidth="1" min="5" max="5"/>
    <col width="13" customWidth="1" min="6" max="6"/>
    <col width="70" customWidth="1" min="7" max="7"/>
    <col width="40" customWidth="1" min="8" max="8"/>
  </cols>
  <sheetData>
    <row r="1">
      <c r="A1" s="1" t="inlineStr">
        <is>
          <t>Valuation: SOTP, P/E cross-check, DCF, blended price target</t>
        </is>
      </c>
    </row>
    <row r="2">
      <c r="A2" s="2" t="inlineStr">
        <is>
          <t>SOTP is live for all four scenarios (Leasing at book). P/E, DCF and blended are live for the SELECTED scenario; the snapshot block stores all four (regenerated by build_model.py).</t>
        </is>
      </c>
    </row>
    <row r="4">
      <c r="A4" s="10" t="inlineStr">
        <is>
          <t>1. Market data and equity bridge</t>
        </is>
      </c>
      <c r="B4" s="11" t="n"/>
      <c r="C4" s="11" t="n"/>
      <c r="D4" s="11" t="n"/>
      <c r="E4" s="11" t="n"/>
      <c r="F4" s="11" t="n"/>
      <c r="G4" s="11" t="n"/>
      <c r="H4" s="11" t="n"/>
    </row>
    <row r="5">
      <c r="A5" s="5" t="inlineStr">
        <is>
          <t>Share price 10/6/26 ($)</t>
        </is>
      </c>
      <c r="B5" s="6">
        <f>Drivers!$D$180</f>
        <v/>
      </c>
      <c r="G5" s="39" t="inlineStr"/>
    </row>
    <row r="6">
      <c r="A6" s="5" t="inlineStr">
        <is>
          <t>Shares (M)</t>
        </is>
      </c>
      <c r="B6" s="56">
        <f>Drivers!$D$181</f>
        <v/>
      </c>
      <c r="G6" s="39" t="inlineStr"/>
    </row>
    <row r="7">
      <c r="A7" s="5" t="inlineStr">
        <is>
          <t>Market cap (stockanalysis)</t>
        </is>
      </c>
      <c r="B7" s="17">
        <f>Drivers!$D$182</f>
        <v/>
      </c>
      <c r="G7" s="39" t="inlineStr"/>
    </row>
    <row r="8">
      <c r="A8" s="5" t="inlineStr">
        <is>
          <t>Enterprise value (stockanalysis)</t>
        </is>
      </c>
      <c r="B8" s="17">
        <f>Drivers!$D$183</f>
        <v/>
      </c>
      <c r="G8" s="39" t="inlineStr"/>
    </row>
    <row r="9">
      <c r="A9" s="5" t="inlineStr">
        <is>
          <t>Net debt per stockanalysis (EV - market cap)</t>
        </is>
      </c>
      <c r="B9" s="34">
        <f>Drivers!$D$184</f>
        <v/>
      </c>
      <c r="G9" s="39" t="inlineStr"/>
    </row>
    <row r="10">
      <c r="A10" s="5" t="inlineStr">
        <is>
          <t>Net debt per balance sheet 6/30/26 (debt 3,496.4 - cash 337.2)</t>
        </is>
      </c>
      <c r="B10" s="34">
        <f>Drivers!$D$185</f>
        <v/>
      </c>
      <c r="G10" s="39" t="inlineStr">
        <is>
          <t>Used in all bridges</t>
        </is>
      </c>
    </row>
    <row r="11">
      <c r="A11" s="5" t="inlineStr">
        <is>
          <t>Reconciliation difference</t>
        </is>
      </c>
      <c r="B11" s="60">
        <f>B10-B9</f>
        <v/>
      </c>
      <c r="G11" s="39" t="inlineStr">
        <is>
          <t>Within ~1: stockanalysis uses face debt 3,500</t>
        </is>
      </c>
    </row>
    <row r="12">
      <c r="A12" s="5" t="inlineStr">
        <is>
          <t>Preferred at liquidation (deducted)</t>
        </is>
      </c>
      <c r="B12" s="60">
        <f>Drivers!$D$187*Drivers!$D$186</f>
        <v/>
      </c>
      <c r="G12" s="39" t="inlineStr"/>
    </row>
    <row r="13">
      <c r="A13" s="5" t="inlineStr">
        <is>
          <t>Leasing book: equipment net 1,146.4 + SCI I stake 365.5</t>
        </is>
      </c>
      <c r="B13" s="34">
        <f>Drivers!$D$188</f>
        <v/>
      </c>
      <c r="G13" s="39" t="inlineStr"/>
    </row>
    <row r="14"/>
    <row r="15">
      <c r="A15" s="10" t="inlineStr">
        <is>
          <t>2. Sum-of-the-parts on 2027E (TTM peer multiples applied to 2027E: 2027 is the trailing year at a 12-month horizon)</t>
        </is>
      </c>
      <c r="B15" s="11" t="n"/>
      <c r="C15" s="11" t="n"/>
      <c r="D15" s="11" t="n"/>
      <c r="E15" s="11" t="n"/>
      <c r="F15" s="11" t="n"/>
      <c r="G15" s="11" t="n"/>
      <c r="H15" s="11" t="n"/>
    </row>
    <row r="16">
      <c r="A16" s="13" t="inlineStr">
        <is>
          <t>USD m</t>
        </is>
      </c>
      <c r="B16" s="14" t="inlineStr">
        <is>
          <t>Bear</t>
        </is>
      </c>
      <c r="C16" s="14" t="inlineStr">
        <is>
          <t>Base</t>
        </is>
      </c>
      <c r="D16" s="14" t="inlineStr">
        <is>
          <t>Bull</t>
        </is>
      </c>
      <c r="E16" s="14" t="inlineStr">
        <is>
          <t>Mgmt Guide</t>
        </is>
      </c>
      <c r="F16" s="14" t="inlineStr">
        <is>
          <t>Selected</t>
        </is>
      </c>
      <c r="G16" s="76" t="inlineStr">
        <is>
          <t>Notes</t>
        </is>
      </c>
    </row>
    <row r="17">
      <c r="A17" s="5" t="inlineStr">
        <is>
          <t>2027E Aerospace EBITDA</t>
        </is>
      </c>
      <c r="B17" s="34">
        <f>Drivers!$D$263</f>
        <v/>
      </c>
      <c r="C17" s="34">
        <f>Drivers!$E$263</f>
        <v/>
      </c>
      <c r="D17" s="34">
        <f>Drivers!$F$263</f>
        <v/>
      </c>
      <c r="E17" s="34">
        <f>Drivers!$G$263</f>
        <v/>
      </c>
      <c r="F17" s="60">
        <f>INDEX(B17:E17,Drivers!$E$4)</f>
        <v/>
      </c>
    </row>
    <row r="18">
      <c r="A18" s="5" t="inlineStr">
        <is>
          <t xml:space="preserve">  x multiple</t>
        </is>
      </c>
      <c r="B18" s="77">
        <f>Drivers!D$190</f>
        <v/>
      </c>
      <c r="C18" s="77">
        <f>Drivers!D$191</f>
        <v/>
      </c>
      <c r="D18" s="77">
        <f>Drivers!D$192</f>
        <v/>
      </c>
      <c r="E18" s="77">
        <f>Drivers!D$193</f>
        <v/>
      </c>
      <c r="F18" s="75">
        <f>INDEX(B18:E18,Drivers!$E$4)</f>
        <v/>
      </c>
    </row>
    <row r="19">
      <c r="A19" s="5" t="inlineStr">
        <is>
          <t>Aerospace EV</t>
        </is>
      </c>
      <c r="B19" s="60">
        <f>B17*B18</f>
        <v/>
      </c>
      <c r="C19" s="60">
        <f>C17*C18</f>
        <v/>
      </c>
      <c r="D19" s="60">
        <f>D17*D18</f>
        <v/>
      </c>
      <c r="E19" s="60">
        <f>E17*E18</f>
        <v/>
      </c>
      <c r="F19" s="60">
        <f>INDEX(B19:E19,Drivers!$E$4)</f>
        <v/>
      </c>
    </row>
    <row r="20">
      <c r="A20" s="5" t="inlineStr">
        <is>
          <t>2027E Power EBITDA (pro-rata)</t>
        </is>
      </c>
      <c r="B20" s="34">
        <f>Drivers!$D$264</f>
        <v/>
      </c>
      <c r="C20" s="34">
        <f>Drivers!$E$264</f>
        <v/>
      </c>
      <c r="D20" s="34">
        <f>Drivers!$F$264</f>
        <v/>
      </c>
      <c r="E20" s="34">
        <f>Drivers!$G$264</f>
        <v/>
      </c>
      <c r="F20" s="60">
        <f>INDEX(B20:E20,Drivers!$E$4)</f>
        <v/>
      </c>
    </row>
    <row r="21">
      <c r="A21" s="5" t="inlineStr">
        <is>
          <t xml:space="preserve">  x multiple</t>
        </is>
      </c>
      <c r="B21" s="77">
        <f>Drivers!D$197</f>
        <v/>
      </c>
      <c r="C21" s="77">
        <f>Drivers!D$198</f>
        <v/>
      </c>
      <c r="D21" s="77">
        <f>Drivers!D$199</f>
        <v/>
      </c>
      <c r="E21" s="77">
        <f>Drivers!D$200</f>
        <v/>
      </c>
      <c r="F21" s="75">
        <f>INDEX(B21:E21,Drivers!$E$4)</f>
        <v/>
      </c>
    </row>
    <row r="22">
      <c r="A22" s="5" t="inlineStr">
        <is>
          <t>Power EV</t>
        </is>
      </c>
      <c r="B22" s="60">
        <f>B20*B21</f>
        <v/>
      </c>
      <c r="C22" s="60">
        <f>C20*C21</f>
        <v/>
      </c>
      <c r="D22" s="60">
        <f>D20*D21</f>
        <v/>
      </c>
      <c r="E22" s="60">
        <f>E20*E21</f>
        <v/>
      </c>
      <c r="F22" s="60">
        <f>INDEX(B22:E22,Drivers!$E$4)</f>
        <v/>
      </c>
    </row>
    <row r="23">
      <c r="A23" s="5" t="inlineStr">
        <is>
          <t>Leasing book value</t>
        </is>
      </c>
      <c r="B23" s="34">
        <f>Drivers!$D$188</f>
        <v/>
      </c>
      <c r="C23" s="34">
        <f>Drivers!$D$188</f>
        <v/>
      </c>
      <c r="D23" s="34">
        <f>Drivers!$D$188</f>
        <v/>
      </c>
      <c r="E23" s="34">
        <f>Drivers!$D$188</f>
        <v/>
      </c>
      <c r="F23" s="60">
        <f>INDEX(B23:E23,Drivers!$E$4)</f>
        <v/>
      </c>
    </row>
    <row r="24" ht="23" customHeight="1">
      <c r="A24" s="5" t="inlineStr">
        <is>
          <t xml:space="preserve">  x book multiple</t>
        </is>
      </c>
      <c r="B24" s="78">
        <f>Drivers!D$204</f>
        <v/>
      </c>
      <c r="C24" s="78">
        <f>Drivers!D$205</f>
        <v/>
      </c>
      <c r="D24" s="78">
        <f>Drivers!D$206</f>
        <v/>
      </c>
      <c r="E24" s="78">
        <f>Drivers!D$207</f>
        <v/>
      </c>
      <c r="F24" s="79">
        <f>INDEX(B24:E24,Drivers!$E$4)</f>
        <v/>
      </c>
      <c r="G24" s="39" t="inlineStr">
        <is>
          <t>Leasing valued at book because the book is being sold down and EBITDA is gain-heavy</t>
        </is>
      </c>
    </row>
    <row r="25">
      <c r="A25" s="5" t="inlineStr">
        <is>
          <t>Leasing value</t>
        </is>
      </c>
      <c r="B25" s="60">
        <f>B23*B24</f>
        <v/>
      </c>
      <c r="C25" s="60">
        <f>C23*C24</f>
        <v/>
      </c>
      <c r="D25" s="60">
        <f>D23*D24</f>
        <v/>
      </c>
      <c r="E25" s="60">
        <f>E23*E24</f>
        <v/>
      </c>
      <c r="F25" s="60">
        <f>INDEX(B25:E25,Drivers!$E$4)</f>
        <v/>
      </c>
    </row>
    <row r="26">
      <c r="A26" s="5" t="inlineStr">
        <is>
          <t>Corporate costs capitalised (2027E x blended multiple)</t>
        </is>
      </c>
      <c r="B26" s="60">
        <f>Drivers!$D$210*SUM(Drivers!F$125:I$125)*B35</f>
        <v/>
      </c>
      <c r="C26" s="60">
        <f>Drivers!$D$210*SUM(Drivers!F$125:I$125)*C35</f>
        <v/>
      </c>
      <c r="D26" s="60">
        <f>Drivers!$D$210*SUM(Drivers!F$125:I$125)*D35</f>
        <v/>
      </c>
      <c r="E26" s="60">
        <f>Drivers!$D$210*SUM(Drivers!F$125:I$125)*E35</f>
        <v/>
      </c>
      <c r="F26" s="60">
        <f>INDEX(B26:E26,Drivers!$E$4)</f>
        <v/>
      </c>
      <c r="G26" s="39" t="inlineStr">
        <is>
          <t>2027E corporate costs x blended Aero+Power multiple (memo row below)</t>
        </is>
      </c>
    </row>
    <row r="27">
      <c r="A27" s="3" t="inlineStr">
        <is>
          <t>Enterprise value</t>
        </is>
      </c>
      <c r="B27" s="35">
        <f>B19+B22+B25+B26</f>
        <v/>
      </c>
      <c r="C27" s="35">
        <f>C19+C22+C25+C26</f>
        <v/>
      </c>
      <c r="D27" s="35">
        <f>D19+D22+D25+D26</f>
        <v/>
      </c>
      <c r="E27" s="35">
        <f>E19+E22+E25+E26</f>
        <v/>
      </c>
      <c r="F27" s="35">
        <f>INDEX(B27:E27,Drivers!$E$4)</f>
        <v/>
      </c>
    </row>
    <row r="28">
      <c r="A28" s="5" t="inlineStr">
        <is>
          <t>less: net debt</t>
        </is>
      </c>
      <c r="B28" s="60">
        <f>-Drivers!$D$185</f>
        <v/>
      </c>
      <c r="C28" s="60">
        <f>-Drivers!$D$185</f>
        <v/>
      </c>
      <c r="D28" s="60">
        <f>-Drivers!$D$185</f>
        <v/>
      </c>
      <c r="E28" s="60">
        <f>-Drivers!$D$185</f>
        <v/>
      </c>
      <c r="F28" s="60">
        <f>INDEX(B28:E28,Drivers!$E$4)</f>
        <v/>
      </c>
    </row>
    <row r="29">
      <c r="A29" s="5" t="inlineStr">
        <is>
          <t>less: preferred</t>
        </is>
      </c>
      <c r="B29" s="60">
        <f>-Drivers!$D$187*Drivers!$D$186</f>
        <v/>
      </c>
      <c r="C29" s="60">
        <f>-Drivers!$D$187*Drivers!$D$186</f>
        <v/>
      </c>
      <c r="D29" s="60">
        <f>-Drivers!$D$187*Drivers!$D$186</f>
        <v/>
      </c>
      <c r="E29" s="60">
        <f>-Drivers!$D$187*Drivers!$D$186</f>
        <v/>
      </c>
      <c r="F29" s="60">
        <f>INDEX(B29:E29,Drivers!$E$4)</f>
        <v/>
      </c>
    </row>
    <row r="30">
      <c r="A30" s="3" t="inlineStr">
        <is>
          <t>Equity value</t>
        </is>
      </c>
      <c r="B30" s="35">
        <f>B27+B28+B29</f>
        <v/>
      </c>
      <c r="C30" s="35">
        <f>C27+C28+C29</f>
        <v/>
      </c>
      <c r="D30" s="35">
        <f>D27+D28+D29</f>
        <v/>
      </c>
      <c r="E30" s="35">
        <f>E27+E28+E29</f>
        <v/>
      </c>
      <c r="F30" s="35">
        <f>INDEX(B30:E30,Drivers!$E$4)</f>
        <v/>
      </c>
    </row>
    <row r="31">
      <c r="A31" s="3" t="inlineStr">
        <is>
          <t>SOTP value per share ($)</t>
        </is>
      </c>
      <c r="B31" s="20">
        <f>B30/Drivers!$D$181</f>
        <v/>
      </c>
      <c r="C31" s="20">
        <f>C30/Drivers!$D$181</f>
        <v/>
      </c>
      <c r="D31" s="20">
        <f>D30/Drivers!$D$181</f>
        <v/>
      </c>
      <c r="E31" s="20">
        <f>E30/Drivers!$D$181</f>
        <v/>
      </c>
      <c r="F31" s="20">
        <f>INDEX(B31:E31,Drivers!$E$4)</f>
        <v/>
      </c>
    </row>
    <row r="32" ht="23" customHeight="1">
      <c r="A32" s="5" t="inlineStr">
        <is>
          <t>Spec / thesis target ($)</t>
        </is>
      </c>
      <c r="B32" s="41" t="n">
        <v>115</v>
      </c>
      <c r="C32" s="41" t="n">
        <v>172</v>
      </c>
      <c r="D32" s="41" t="n">
        <v>280</v>
      </c>
      <c r="G32" s="39" t="inlineStr">
        <is>
          <t>thesis.md section 2 (Bear ~115, Base ~172, Bull ~280); thesis excludes preferred and uses book ~1.5B</t>
        </is>
      </c>
    </row>
    <row r="33">
      <c r="A33" s="5" t="inlineStr">
        <is>
          <t>Difference vs target ($)</t>
        </is>
      </c>
      <c r="B33" s="80">
        <f>B36-B32</f>
        <v/>
      </c>
      <c r="C33" s="80">
        <f>C36-C32</f>
        <v/>
      </c>
      <c r="D33" s="80">
        <f>D36-D32</f>
        <v/>
      </c>
    </row>
    <row r="34">
      <c r="A34" s="5" t="inlineStr">
        <is>
          <t>Upside vs current price</t>
        </is>
      </c>
      <c r="B34" s="9">
        <f>B31/Drivers!$D$180-1</f>
        <v/>
      </c>
      <c r="C34" s="9">
        <f>C31/Drivers!$D$180-1</f>
        <v/>
      </c>
      <c r="D34" s="9">
        <f>D31/Drivers!$D$180-1</f>
        <v/>
      </c>
      <c r="E34" s="9">
        <f>E31/Drivers!$D$180-1</f>
        <v/>
      </c>
      <c r="F34" s="9">
        <f>INDEX(B34:E34,Drivers!$E$4)</f>
        <v/>
      </c>
    </row>
    <row r="35">
      <c r="A35" s="5" t="inlineStr">
        <is>
          <t>Memo: blended Aero+Power multiple</t>
        </is>
      </c>
      <c r="B35" s="75">
        <f>(B19+B22)/(B17+B20)</f>
        <v/>
      </c>
      <c r="C35" s="75">
        <f>(C19+C22)/(C17+C20)</f>
        <v/>
      </c>
      <c r="D35" s="75">
        <f>(D19+D22)/(D17+D20)</f>
        <v/>
      </c>
      <c r="E35" s="75">
        <f>(E19+E22)/(E17+E20)</f>
        <v/>
      </c>
    </row>
    <row r="36" ht="23" customHeight="1">
      <c r="A36" s="5" t="inlineStr">
        <is>
          <t>Memo: SOTP value/share EXCLUDING corporate costs (ties to thesis.md v0.2 targets) ($)</t>
        </is>
      </c>
      <c r="B36" s="19">
        <f>B31-B26/Drivers!$D$181</f>
        <v/>
      </c>
      <c r="C36" s="19">
        <f>C31-C26/Drivers!$D$181</f>
        <v/>
      </c>
      <c r="D36" s="19">
        <f>D31-D26/Drivers!$D$181</f>
        <v/>
      </c>
      <c r="E36" s="19">
        <f>E31-E26/Drivers!$D$181</f>
        <v/>
      </c>
      <c r="G36" s="81" t="inlineStr">
        <is>
          <t>Headline SOTP includes corporate costs. This memo excludes them, for comparison with the thesis.md v0.2 targets</t>
        </is>
      </c>
    </row>
    <row r="37"/>
    <row r="38">
      <c r="A38" s="10" t="inlineStr">
        <is>
          <t>3. Forward P/E cross-check (selected scenario)</t>
        </is>
      </c>
      <c r="B38" s="11" t="n"/>
      <c r="C38" s="11" t="n"/>
      <c r="D38" s="11" t="n"/>
      <c r="E38" s="11" t="n"/>
      <c r="F38" s="11" t="n"/>
      <c r="G38" s="11" t="n"/>
      <c r="H38" s="11" t="n"/>
    </row>
    <row r="39">
      <c r="A39" s="3" t="inlineStr">
        <is>
          <t>Model FY2027E diluted EPS ($)</t>
        </is>
      </c>
      <c r="B39" s="7">
        <f>Annual!F54</f>
        <v/>
      </c>
    </row>
    <row r="40">
      <c r="A40" s="5" t="inlineStr">
        <is>
          <t xml:space="preserve">  at low P/E</t>
        </is>
      </c>
      <c r="B40" s="19">
        <f>B39*Drivers!$D$211</f>
        <v/>
      </c>
    </row>
    <row r="41">
      <c r="A41" s="3" t="inlineStr">
        <is>
          <t xml:space="preserve">  at midpoint P/E</t>
        </is>
      </c>
      <c r="B41" s="20">
        <f>B39*AVERAGE(Drivers!$D$211,Drivers!$D$212)</f>
        <v/>
      </c>
    </row>
    <row r="42">
      <c r="A42" s="5" t="inlineStr">
        <is>
          <t xml:space="preserve">  at high P/E</t>
        </is>
      </c>
      <c r="B42" s="19">
        <f>B39*Drivers!$D$212</f>
        <v/>
      </c>
    </row>
    <row r="43" ht="23" customHeight="1">
      <c r="A43" s="5" t="inlineStr">
        <is>
          <t>Consensus FY2027E EPS implied (price / 20.2x) ($)</t>
        </is>
      </c>
      <c r="B43" s="6">
        <f>Drivers!$D$214</f>
        <v/>
      </c>
      <c r="G43" s="81" t="inlineStr">
        <is>
          <t>CAVEAT: stockanalysis forward P/E 20.2x conflicts with its own FY26 EPS (30.8x); the $8.87 is an implied, not published, figure</t>
        </is>
      </c>
    </row>
    <row r="44">
      <c r="A44" s="5" t="inlineStr">
        <is>
          <t xml:space="preserve">  consensus at low P/E ($)</t>
        </is>
      </c>
      <c r="B44" s="19">
        <f>B43*Drivers!$D$211</f>
        <v/>
      </c>
    </row>
    <row r="45">
      <c r="A45" s="5" t="inlineStr">
        <is>
          <t xml:space="preserve">  consensus at high P/E ($)</t>
        </is>
      </c>
      <c r="B45" s="19">
        <f>B43*Drivers!$D$212</f>
        <v/>
      </c>
    </row>
    <row r="46">
      <c r="A46" s="5" t="inlineStr">
        <is>
          <t>Model EPS vs consensus-implied</t>
        </is>
      </c>
      <c r="B46" s="9">
        <f>B39/B43-1</f>
        <v/>
      </c>
    </row>
    <row r="47"/>
    <row r="48">
      <c r="A48" s="10" t="inlineStr">
        <is>
          <t>4. DCF on clean FCF (selected scenario). Valuation date 6/30/26 balance sheet; mid-period discounting</t>
        </is>
      </c>
      <c r="B48" s="11" t="n"/>
      <c r="C48" s="11" t="n"/>
      <c r="D48" s="11" t="n"/>
      <c r="E48" s="11" t="n"/>
      <c r="F48" s="11" t="n"/>
      <c r="G48" s="11" t="n"/>
      <c r="H48" s="11" t="n"/>
    </row>
    <row r="49">
      <c r="A49" s="13" t="inlineStr">
        <is>
          <t>USD m</t>
        </is>
      </c>
      <c r="B49" s="14" t="inlineStr">
        <is>
          <t>2H FY2026E</t>
        </is>
      </c>
      <c r="C49" s="14" t="inlineStr">
        <is>
          <t>FY2027E</t>
        </is>
      </c>
      <c r="D49" s="14" t="inlineStr">
        <is>
          <t>FY2028E</t>
        </is>
      </c>
      <c r="E49" s="14" t="inlineStr">
        <is>
          <t>FY2029E</t>
        </is>
      </c>
      <c r="F49" s="14" t="inlineStr">
        <is>
          <t>FY2030E</t>
        </is>
      </c>
      <c r="G49" s="76" t="inlineStr">
        <is>
          <t>Terminal</t>
        </is>
      </c>
    </row>
    <row r="50">
      <c r="A50" s="5" t="inlineStr">
        <is>
          <t>Clean CFO + CFI (after interest)</t>
        </is>
      </c>
      <c r="B50" s="60">
        <f>SUM(Quarterly!D74:E74)</f>
        <v/>
      </c>
      <c r="C50" s="34">
        <f>Annual!F74</f>
        <v/>
      </c>
      <c r="D50" s="34">
        <f>Annual!G74</f>
        <v/>
      </c>
      <c r="E50" s="34">
        <f>Annual!H74</f>
        <v/>
      </c>
      <c r="F50" s="34">
        <f>Annual!I74</f>
        <v/>
      </c>
    </row>
    <row r="51">
      <c r="A51" s="5" t="inlineStr">
        <is>
          <t xml:space="preserve">  plus: interest expense</t>
        </is>
      </c>
      <c r="B51" s="60">
        <f>SUM(Quarterly!D46:E46)</f>
        <v/>
      </c>
      <c r="C51" s="34">
        <f>Annual!F46</f>
        <v/>
      </c>
      <c r="D51" s="34">
        <f>Annual!G46</f>
        <v/>
      </c>
      <c r="E51" s="34">
        <f>Annual!H46</f>
        <v/>
      </c>
      <c r="F51" s="34">
        <f>Annual!I46</f>
        <v/>
      </c>
    </row>
    <row r="52">
      <c r="A52" s="5" t="inlineStr">
        <is>
          <t xml:space="preserve">  plus: after-tax interest add-back = interest x (1 - tax)</t>
        </is>
      </c>
      <c r="B52" s="60">
        <f>B51*(1-Drivers!$D$133)</f>
        <v/>
      </c>
      <c r="C52" s="60">
        <f>C51*(1-Drivers!$D$133)</f>
        <v/>
      </c>
      <c r="D52" s="60">
        <f>D51*(1-Drivers!$D$133)</f>
        <v/>
      </c>
      <c r="E52" s="60">
        <f>E51*(1-Drivers!$D$133)</f>
        <v/>
      </c>
      <c r="F52" s="60">
        <f>F51*(1-Drivers!$D$133)</f>
        <v/>
      </c>
    </row>
    <row r="53" ht="23" customHeight="1">
      <c r="A53" s="3" t="inlineStr">
        <is>
          <t>Unlevered clean FCF</t>
        </is>
      </c>
      <c r="B53" s="35">
        <f>B50+B52</f>
        <v/>
      </c>
      <c r="C53" s="35">
        <f>C50+C52</f>
        <v/>
      </c>
      <c r="D53" s="35">
        <f>D50+D52</f>
        <v/>
      </c>
      <c r="E53" s="35">
        <f>E50+E52</f>
        <v/>
      </c>
      <c r="F53" s="35">
        <f>F50+F52</f>
        <v/>
      </c>
      <c r="G53" s="35">
        <f>G54*(1+Drivers!$D$217)/(Drivers!$D$216-Drivers!$D$217)</f>
        <v/>
      </c>
      <c r="H53" s="39" t="inlineStr">
        <is>
          <t>Terminal value = normalised FCF x (1+g) / (WACC - g)</t>
        </is>
      </c>
    </row>
    <row r="54" ht="54.5" customHeight="1">
      <c r="A54" s="5" t="inlineStr">
        <is>
          <t>Terminal normalisation (see note)</t>
        </is>
      </c>
      <c r="G54" s="60">
        <f>F53-Annual!I63-Annual!I64-Annual!I65-Drivers!$D$217*Annual!I86</f>
        <v/>
      </c>
      <c r="H54" s="39" t="inlineStr">
        <is>
          <t>Fixed before viewing output: terminal FCF = FY30 unlevered FCF with the FY30 inventory change replaced by a growth-consistent build (g x inventory) and Power WC net set to zero (flat units)</t>
        </is>
      </c>
    </row>
    <row r="55" ht="33.5" customHeight="1">
      <c r="A55" s="5" t="inlineStr">
        <is>
          <t>Discount period (years from 6/30/26, mid-period)</t>
        </is>
      </c>
      <c r="B55" s="50" t="n">
        <v>0.25</v>
      </c>
      <c r="C55" s="50" t="n">
        <v>1</v>
      </c>
      <c r="D55" s="50" t="n">
        <v>2</v>
      </c>
      <c r="E55" s="50" t="n">
        <v>3</v>
      </c>
      <c r="F55" s="50" t="n">
        <v>4</v>
      </c>
      <c r="G55" s="50" t="n">
        <v>4.5</v>
      </c>
      <c r="H55" s="39" t="inlineStr">
        <is>
          <t>ASSUMPTION: 2H26 cash mid-point 0.25y; FY27 mid-year 1.0y ... FY30 4.0y; terminal at end FY30 (4.5y)</t>
        </is>
      </c>
    </row>
    <row r="56">
      <c r="A56" s="5" t="inlineStr">
        <is>
          <t>Discount factor</t>
        </is>
      </c>
      <c r="B56" s="69">
        <f>1/(1+Drivers!$D$216)^B55</f>
        <v/>
      </c>
      <c r="C56" s="69">
        <f>1/(1+Drivers!$D$216)^C55</f>
        <v/>
      </c>
      <c r="D56" s="69">
        <f>1/(1+Drivers!$D$216)^D55</f>
        <v/>
      </c>
      <c r="E56" s="69">
        <f>1/(1+Drivers!$D$216)^E55</f>
        <v/>
      </c>
      <c r="F56" s="69">
        <f>1/(1+Drivers!$D$216)^F55</f>
        <v/>
      </c>
      <c r="G56" s="69">
        <f>1/(1+Drivers!$D$216)^G55</f>
        <v/>
      </c>
    </row>
    <row r="57">
      <c r="A57" s="3" t="inlineStr">
        <is>
          <t>Present value</t>
        </is>
      </c>
      <c r="B57" s="35">
        <f>B53*B56</f>
        <v/>
      </c>
      <c r="C57" s="35">
        <f>C53*C56</f>
        <v/>
      </c>
      <c r="D57" s="35">
        <f>D53*D56</f>
        <v/>
      </c>
      <c r="E57" s="35">
        <f>E53*E56</f>
        <v/>
      </c>
      <c r="F57" s="35">
        <f>F53*F56</f>
        <v/>
      </c>
      <c r="G57" s="35">
        <f>G53*G56</f>
        <v/>
      </c>
    </row>
    <row r="58"/>
    <row r="59">
      <c r="A59" s="3" t="inlineStr">
        <is>
          <t>DCF enterprise value</t>
        </is>
      </c>
      <c r="B59" s="35">
        <f>SUM(B57:G57)</f>
        <v/>
      </c>
    </row>
    <row r="60">
      <c r="A60" s="5" t="inlineStr">
        <is>
          <t xml:space="preserve">  terminal value share of EV</t>
        </is>
      </c>
      <c r="B60" s="9">
        <f>G57/B59</f>
        <v/>
      </c>
    </row>
    <row r="61">
      <c r="A61" s="5" t="inlineStr">
        <is>
          <t>less: net debt (6/30/26)</t>
        </is>
      </c>
      <c r="B61" s="60">
        <f>-Drivers!$D$185</f>
        <v/>
      </c>
    </row>
    <row r="62">
      <c r="A62" s="5" t="inlineStr">
        <is>
          <t>less: preferred</t>
        </is>
      </c>
      <c r="B62" s="60">
        <f>-Drivers!$D$187*Drivers!$D$186</f>
        <v/>
      </c>
    </row>
    <row r="63">
      <c r="A63" s="5" t="inlineStr">
        <is>
          <t>DCF equity value</t>
        </is>
      </c>
      <c r="B63" s="60">
        <f>B59+B61+B62</f>
        <v/>
      </c>
    </row>
    <row r="64">
      <c r="A64" s="3" t="inlineStr">
        <is>
          <t>DCF value per share ($)</t>
        </is>
      </c>
      <c r="B64" s="20">
        <f>B63/Drivers!$D$181</f>
        <v/>
      </c>
    </row>
    <row r="65"/>
    <row r="66">
      <c r="A66" s="10" t="inlineStr">
        <is>
          <t>5. Blended price target (selected scenario)</t>
        </is>
      </c>
      <c r="B66" s="11" t="n"/>
      <c r="C66" s="11" t="n"/>
      <c r="D66" s="11" t="n"/>
      <c r="E66" s="11" t="n"/>
      <c r="F66" s="11" t="n"/>
      <c r="G66" s="11" t="n"/>
      <c r="H66" s="11" t="n"/>
    </row>
    <row r="67">
      <c r="A67" s="13" t="inlineStr">
        <is>
          <t>Method</t>
        </is>
      </c>
      <c r="B67" s="14" t="inlineStr">
        <is>
          <t>Value / share</t>
        </is>
      </c>
      <c r="C67" s="14" t="inlineStr">
        <is>
          <t>Weight</t>
        </is>
      </c>
      <c r="D67" s="14" t="inlineStr">
        <is>
          <t>Contribution</t>
        </is>
      </c>
    </row>
    <row r="68">
      <c r="A68" s="5" t="inlineStr">
        <is>
          <t>SOTP</t>
        </is>
      </c>
      <c r="B68" s="19">
        <f>F31</f>
        <v/>
      </c>
      <c r="C68" s="15">
        <f>Drivers!$D$218</f>
        <v/>
      </c>
      <c r="D68" s="19">
        <f>B68*C68</f>
        <v/>
      </c>
    </row>
    <row r="69">
      <c r="A69" s="5" t="inlineStr">
        <is>
          <t>P/E at midpoint multiple</t>
        </is>
      </c>
      <c r="B69" s="19">
        <f>B41</f>
        <v/>
      </c>
      <c r="C69" s="15">
        <f>Drivers!$D$219</f>
        <v/>
      </c>
      <c r="D69" s="19">
        <f>B69*C69</f>
        <v/>
      </c>
    </row>
    <row r="70">
      <c r="A70" s="5" t="inlineStr">
        <is>
          <t>DCF</t>
        </is>
      </c>
      <c r="B70" s="19">
        <f>B64</f>
        <v/>
      </c>
      <c r="C70" s="15">
        <f>Drivers!$D$220</f>
        <v/>
      </c>
      <c r="D70" s="19">
        <f>B70*C70</f>
        <v/>
      </c>
    </row>
    <row r="71">
      <c r="A71" s="3" t="inlineStr">
        <is>
          <t>Blended value per share ($)</t>
        </is>
      </c>
      <c r="C71" s="9">
        <f>SUM(C68:C70)</f>
        <v/>
      </c>
      <c r="D71" s="20">
        <f>SUM(D68:D70)/C71</f>
        <v/>
      </c>
    </row>
    <row r="72">
      <c r="A72" s="5" t="inlineStr">
        <is>
          <t>Upside / (downside) vs current price</t>
        </is>
      </c>
      <c r="D72" s="16">
        <f>D71/Drivers!$D$180-1</f>
        <v/>
      </c>
    </row>
    <row r="73"/>
    <row r="74">
      <c r="A74" s="10" t="inlineStr">
        <is>
          <t>6. Peer table (stockanalysis, 10/6/26)</t>
        </is>
      </c>
      <c r="B74" s="11" t="n"/>
      <c r="C74" s="11" t="n"/>
      <c r="D74" s="11" t="n"/>
      <c r="E74" s="11" t="n"/>
      <c r="F74" s="11" t="n"/>
      <c r="G74" s="11" t="n"/>
      <c r="H74" s="11" t="n"/>
    </row>
    <row r="75">
      <c r="A75" s="13" t="inlineStr">
        <is>
          <t>Company</t>
        </is>
      </c>
      <c r="B75" s="14" t="inlineStr">
        <is>
          <t>EV/EBITDA TTM</t>
        </is>
      </c>
      <c r="C75" s="14" t="inlineStr">
        <is>
          <t>Forward P/E</t>
        </is>
      </c>
      <c r="D75" s="14" t="inlineStr">
        <is>
          <t>FCF yield</t>
        </is>
      </c>
    </row>
    <row r="76">
      <c r="A76" s="5" t="inlineStr">
        <is>
          <t>HEICO</t>
        </is>
      </c>
      <c r="B76" s="62" t="n">
        <v>30.2</v>
      </c>
      <c r="C76" s="62" t="n">
        <v>44</v>
      </c>
      <c r="D76" s="46" t="n">
        <v>0.024</v>
      </c>
      <c r="G76" s="39" t="inlineStr">
        <is>
          <t>Source: stockanalysis.com per thesis.md section 2 (10/6/26)</t>
        </is>
      </c>
    </row>
    <row r="77">
      <c r="A77" s="5" t="inlineStr">
        <is>
          <t>AAR</t>
        </is>
      </c>
      <c r="B77" s="62" t="n">
        <v>13.8</v>
      </c>
      <c r="C77" s="62" t="n">
        <v>17.7</v>
      </c>
      <c r="D77" s="46" t="n">
        <v>0.033</v>
      </c>
    </row>
    <row r="78">
      <c r="A78" s="5" t="inlineStr">
        <is>
          <t>StandardAero</t>
        </is>
      </c>
      <c r="B78" s="62" t="n">
        <v>11.7</v>
      </c>
      <c r="C78" s="62" t="n">
        <v>15.9</v>
      </c>
      <c r="D78" s="46" t="n">
        <v>0.032</v>
      </c>
    </row>
    <row r="79">
      <c r="A79" s="5" t="inlineStr">
        <is>
          <t>AerSale</t>
        </is>
      </c>
      <c r="B79" s="62" t="n">
        <v>17.4</v>
      </c>
      <c r="C79" s="62" t="n">
        <v>18.1</v>
      </c>
      <c r="D79" s="46" t="n">
        <v>-0.167</v>
      </c>
    </row>
    <row r="80">
      <c r="A80" s="5" t="inlineStr">
        <is>
          <t>AerCap</t>
        </is>
      </c>
      <c r="B80" s="62" t="n">
        <v>12.4</v>
      </c>
      <c r="C80" s="62" t="n">
        <v>8.5</v>
      </c>
      <c r="D80" s="46" t="n">
        <v>-0.014</v>
      </c>
    </row>
    <row r="81">
      <c r="A81" s="5" t="inlineStr">
        <is>
          <t>FTAI (at $179.44)</t>
        </is>
      </c>
      <c r="B81" s="62" t="n">
        <v>21.7</v>
      </c>
      <c r="C81" s="62" t="n">
        <v>20.2</v>
      </c>
    </row>
    <row r="82"/>
    <row r="83">
      <c r="A83" s="10" t="inlineStr">
        <is>
          <t>7. Scenario snapshot: all four scenarios (static values regenerated by build_model.py from four full recalculations)</t>
        </is>
      </c>
      <c r="B83" s="11" t="n"/>
      <c r="C83" s="11" t="n"/>
      <c r="D83" s="11" t="n"/>
      <c r="E83" s="11" t="n"/>
      <c r="F83" s="11" t="n"/>
      <c r="G83" s="11" t="n"/>
      <c r="H83" s="11" t="n"/>
    </row>
    <row r="84">
      <c r="A84" s="13" t="inlineStr">
        <is>
          <t>Output</t>
        </is>
      </c>
      <c r="B84" s="14" t="inlineStr">
        <is>
          <t>Bear</t>
        </is>
      </c>
      <c r="C84" s="14" t="inlineStr">
        <is>
          <t>Base</t>
        </is>
      </c>
      <c r="D84" s="14" t="inlineStr">
        <is>
          <t>Bull</t>
        </is>
      </c>
      <c r="E84" s="14" t="inlineStr">
        <is>
          <t>Mgmt Guide</t>
        </is>
      </c>
      <c r="F84" s="14" t="inlineStr"/>
      <c r="G84" s="76" t="inlineStr">
        <is>
          <t>Notes</t>
        </is>
      </c>
    </row>
    <row r="85">
      <c r="A85" s="5" t="inlineStr">
        <is>
          <t>FY26E segment-basis EBITDA ($M)</t>
        </is>
      </c>
      <c r="B85" s="40" t="n">
        <v>1321.471</v>
      </c>
      <c r="C85" s="40" t="n">
        <v>1406.4832</v>
      </c>
      <c r="D85" s="40" t="n">
        <v>1502.9329</v>
      </c>
      <c r="E85" s="40" t="n">
        <v>1525.0609</v>
      </c>
      <c r="G85" s="81" t="inlineStr">
        <is>
          <t>STATIC: re-run `python -I build_model.py` after changing any driver</t>
        </is>
      </c>
    </row>
    <row r="86">
      <c r="A86" s="5" t="inlineStr">
        <is>
          <t>FY27E segment-basis EBITDA ($M)</t>
        </is>
      </c>
      <c r="B86" s="40" t="n">
        <v>1470.0041</v>
      </c>
      <c r="C86" s="40" t="n">
        <v>1920.027</v>
      </c>
      <c r="D86" s="40" t="n">
        <v>2480.0576</v>
      </c>
      <c r="E86" s="40" t="n">
        <v>2299.9676</v>
      </c>
    </row>
    <row r="87">
      <c r="A87" s="5" t="inlineStr">
        <is>
          <t>FY27E total Adj. EBITDA, company basis ($M)</t>
        </is>
      </c>
      <c r="B87" s="40" t="n">
        <v>1273.891</v>
      </c>
      <c r="C87" s="40" t="n">
        <v>1719.9013</v>
      </c>
      <c r="D87" s="40" t="n">
        <v>2274.5818</v>
      </c>
      <c r="E87" s="40" t="n">
        <v>2094.4918</v>
      </c>
    </row>
    <row r="88">
      <c r="A88" s="5" t="inlineStr">
        <is>
          <t>FY26E diluted EPS ($)</t>
        </is>
      </c>
      <c r="B88" s="41" t="n">
        <v>4.07</v>
      </c>
      <c r="C88" s="41" t="n">
        <v>4.6769</v>
      </c>
      <c r="D88" s="41" t="n">
        <v>5.1544</v>
      </c>
      <c r="E88" s="41" t="n">
        <v>5.2042</v>
      </c>
    </row>
    <row r="89">
      <c r="A89" s="3" t="inlineStr">
        <is>
          <t>FY27E diluted EPS ($)</t>
        </is>
      </c>
      <c r="B89" s="82" t="n">
        <v>5.0678</v>
      </c>
      <c r="C89" s="82" t="n">
        <v>7.8776</v>
      </c>
      <c r="D89" s="82" t="n">
        <v>11.2388</v>
      </c>
      <c r="E89" s="82" t="n">
        <v>10.115</v>
      </c>
    </row>
    <row r="90">
      <c r="A90" s="3" t="inlineStr">
        <is>
          <t>SOTP value per share ($)</t>
        </is>
      </c>
      <c r="B90" s="82" t="n">
        <v>97.1183</v>
      </c>
      <c r="C90" s="82" t="n">
        <v>151.8763</v>
      </c>
      <c r="D90" s="82" t="n">
        <v>256.0592</v>
      </c>
      <c r="E90" s="82" t="n">
        <v>185.2184</v>
      </c>
    </row>
    <row r="91">
      <c r="A91" s="5" t="inlineStr">
        <is>
          <t>P/E value per share, midpoint multiple ($)</t>
        </is>
      </c>
      <c r="B91" s="41" t="n">
        <v>86.1525</v>
      </c>
      <c r="C91" s="41" t="n">
        <v>133.9184</v>
      </c>
      <c r="D91" s="41" t="n">
        <v>191.0597</v>
      </c>
      <c r="E91" s="41" t="n">
        <v>171.9553</v>
      </c>
    </row>
    <row r="92">
      <c r="A92" s="5" t="inlineStr">
        <is>
          <t>DCF value per share ($)</t>
        </is>
      </c>
      <c r="B92" s="41" t="n">
        <v>86.50620000000001</v>
      </c>
      <c r="C92" s="41" t="n">
        <v>143.4111</v>
      </c>
      <c r="D92" s="41" t="n">
        <v>199.9359</v>
      </c>
      <c r="E92" s="41" t="n">
        <v>190.779</v>
      </c>
    </row>
    <row r="93">
      <c r="A93" s="3" t="inlineStr">
        <is>
          <t>Blended value per share ($)</t>
        </is>
      </c>
      <c r="B93" s="82" t="n">
        <v>90.64490000000001</v>
      </c>
      <c r="C93" s="82" t="n">
        <v>143.9494</v>
      </c>
      <c r="D93" s="82" t="n">
        <v>219.7224</v>
      </c>
      <c r="E93" s="82" t="n">
        <v>182.9077</v>
      </c>
    </row>
    <row r="94">
      <c r="A94" s="5" t="inlineStr">
        <is>
          <t>FY26E company-defined Adjusted FCF ($M)</t>
        </is>
      </c>
      <c r="B94" s="40" t="n">
        <v>647.0842</v>
      </c>
      <c r="C94" s="40" t="n">
        <v>752.8476000000001</v>
      </c>
      <c r="D94" s="40" t="n">
        <v>852.3806</v>
      </c>
      <c r="E94" s="40" t="n">
        <v>878.0155</v>
      </c>
    </row>
    <row r="95">
      <c r="A95" s="5" t="inlineStr">
        <is>
          <t>FY26E clean CFO + CFI ($M)</t>
        </is>
      </c>
      <c r="B95" s="40" t="n">
        <v>286.4052</v>
      </c>
      <c r="C95" s="40" t="n">
        <v>242.6686</v>
      </c>
      <c r="D95" s="40" t="n">
        <v>178.4016</v>
      </c>
      <c r="E95" s="40" t="n">
        <v>274.0365</v>
      </c>
    </row>
    <row r="96">
      <c r="A96" s="5" t="inlineStr">
        <is>
          <t>FY27E clean CFO + CFI ($M)</t>
        </is>
      </c>
      <c r="B96" s="40" t="n">
        <v>156.6579</v>
      </c>
      <c r="C96" s="40" t="n">
        <v>362.9396</v>
      </c>
      <c r="D96" s="40" t="n">
        <v>532.1083</v>
      </c>
      <c r="E96" s="40" t="n">
        <v>296.5053</v>
      </c>
    </row>
    <row r="97">
      <c r="A97" s="5" t="inlineStr">
        <is>
          <t>Scenario probability weight (input on Drivers)</t>
        </is>
      </c>
      <c r="B97" s="15">
        <f>Drivers!D$222</f>
        <v/>
      </c>
      <c r="C97" s="15">
        <f>Drivers!D$223</f>
        <v/>
      </c>
      <c r="D97" s="15">
        <f>Drivers!D$224</f>
        <v/>
      </c>
      <c r="E97" s="15">
        <f>Drivers!D$225</f>
        <v/>
      </c>
      <c r="F97" s="9">
        <f>SUM(B97:E97)</f>
        <v/>
      </c>
    </row>
    <row r="98">
      <c r="A98" s="3" t="inlineStr">
        <is>
          <t>Probability-weighted blended value per share ($)</t>
        </is>
      </c>
      <c r="B98" s="20">
        <f>SUMPRODUCT(B93:E93,B97:E97)/F97</f>
        <v/>
      </c>
    </row>
    <row r="99">
      <c r="A99" s="5" t="inlineStr">
        <is>
          <t>Probability-weighted SOTP (live) ($)</t>
        </is>
      </c>
      <c r="B99" s="19">
        <f>SUMPRODUCT(B31:E31,B97:E97)/F97</f>
        <v/>
      </c>
    </row>
    <row r="100">
      <c r="A100" s="5" t="inlineStr">
        <is>
          <t>Probability-weighted upside vs current price</t>
        </is>
      </c>
      <c r="B100" s="16">
        <f>B98/Drivers!$D$180-1</f>
        <v/>
      </c>
    </row>
    <row r="101">
      <c r="A101" s="5" t="inlineStr">
        <is>
          <t>Snapshot freshness: live blended (selected) vs snapshot for the same scenario</t>
        </is>
      </c>
      <c r="B101" s="3">
        <f>IF(ABS(D71-INDEX(B93:E93,Drivers!$E$4))&lt;0.05,"OK: snapshot current","STALE: re-run build_model.py")</f>
        <v/>
      </c>
    </row>
    <row r="102"/>
  </sheetData>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5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4" customWidth="1" min="1" max="1"/>
    <col width="16" customWidth="1" min="2" max="2"/>
    <col width="16" customWidth="1" min="3" max="3"/>
    <col width="14" customWidth="1" min="4" max="4"/>
    <col width="14" customWidth="1" min="5" max="5"/>
    <col width="18" customWidth="1" min="6" max="6"/>
    <col width="80" customWidth="1" min="7" max="7"/>
  </cols>
  <sheetData>
    <row r="1">
      <c r="A1" s="1" t="inlineStr">
        <is>
          <t>Bridge: Management guide ($2,300M 2027E EBITDA) to our Base case</t>
        </is>
      </c>
    </row>
    <row r="2">
      <c r="A2" s="2" t="inlineStr">
        <is>
          <t>Live formulas independent of the scenario selector (read the scenario engine and SOTP columns). Leasing is valued at book in the SOTP, so its EBITDA gap lowers EPS and FCF but not SOTP value.</t>
        </is>
      </c>
    </row>
    <row r="4">
      <c r="A4" s="13" t="inlineStr">
        <is>
          <t>Segment (2027E)</t>
        </is>
      </c>
      <c r="B4" s="14" t="inlineStr">
        <is>
          <t>Mgmt Guide EBITDA</t>
        </is>
      </c>
      <c r="C4" s="14" t="inlineStr">
        <is>
          <t>Our Base EBITDA</t>
        </is>
      </c>
      <c r="D4" s="14" t="inlineStr">
        <is>
          <t>Delta EBITDA</t>
        </is>
      </c>
      <c r="E4" s="14" t="inlineStr">
        <is>
          <t>Multiple (Base)</t>
        </is>
      </c>
      <c r="F4" s="14" t="inlineStr">
        <is>
          <t>Value impact ($/share)</t>
        </is>
      </c>
      <c r="G4" s="14" t="inlineStr">
        <is>
          <t>Notes</t>
        </is>
      </c>
    </row>
    <row r="5">
      <c r="A5" s="5" t="inlineStr">
        <is>
          <t>Aerospace</t>
        </is>
      </c>
      <c r="B5" s="34">
        <f>Drivers!$G$263</f>
        <v/>
      </c>
      <c r="C5" s="34">
        <f>Drivers!$E$263</f>
        <v/>
      </c>
      <c r="D5" s="60">
        <f>C5-B5</f>
        <v/>
      </c>
      <c r="E5" s="77">
        <f>Drivers!D$191</f>
        <v/>
      </c>
      <c r="F5" s="80">
        <f>D5*E5/Drivers!$D$181</f>
        <v/>
      </c>
    </row>
    <row r="6">
      <c r="A6" s="5" t="inlineStr">
        <is>
          <t>Power</t>
        </is>
      </c>
      <c r="B6" s="34">
        <f>Drivers!$G$264</f>
        <v/>
      </c>
      <c r="C6" s="34">
        <f>Drivers!$E$264</f>
        <v/>
      </c>
      <c r="D6" s="60">
        <f>C6-B6</f>
        <v/>
      </c>
      <c r="E6" s="77">
        <f>Drivers!D$198</f>
        <v/>
      </c>
      <c r="F6" s="80">
        <f>D6*E6/Drivers!$D$181</f>
        <v/>
      </c>
    </row>
    <row r="7">
      <c r="A7" s="5" t="inlineStr">
        <is>
          <t>Leasing</t>
        </is>
      </c>
      <c r="B7" s="34">
        <f>Drivers!$G$265</f>
        <v/>
      </c>
      <c r="C7" s="34">
        <f>Drivers!$E$265</f>
        <v/>
      </c>
      <c r="D7" s="60">
        <f>C7-B7</f>
        <v/>
      </c>
      <c r="E7" s="5" t="inlineStr">
        <is>
          <t>book</t>
        </is>
      </c>
      <c r="F7" s="80" t="n">
        <v>0</v>
      </c>
      <c r="G7" s="83" t="inlineStr">
        <is>
          <t>Valued at book: EBITDA gap hits EPS/FCF (see bottom), not SOTP. Guide equals Bull on Leasing</t>
        </is>
      </c>
    </row>
    <row r="8">
      <c r="A8" s="3" t="inlineStr">
        <is>
          <t>Total 2027E segment EBITDA</t>
        </is>
      </c>
      <c r="B8" s="35">
        <f>SUM(B5:B7)</f>
        <v/>
      </c>
      <c r="C8" s="35">
        <f>SUM(C5:C7)</f>
        <v/>
      </c>
      <c r="D8" s="35">
        <f>SUM(D5:D7)</f>
        <v/>
      </c>
      <c r="F8" s="74">
        <f>SUM(F5:F7)</f>
        <v/>
      </c>
    </row>
    <row r="9"/>
    <row r="10">
      <c r="A10" s="10" t="inlineStr">
        <is>
          <t>Value per share: guide to our Base (SOTP)</t>
        </is>
      </c>
      <c r="B10" s="11" t="n"/>
      <c r="C10" s="11" t="n"/>
      <c r="D10" s="11" t="n"/>
      <c r="E10" s="11" t="n"/>
      <c r="F10" s="11" t="n"/>
      <c r="G10" s="11" t="n"/>
    </row>
    <row r="11">
      <c r="A11" s="3" t="inlineStr">
        <is>
          <t>SOTP value per share at the Mgmt guide ($)</t>
        </is>
      </c>
      <c r="B11" s="84">
        <f>Valuation!E31</f>
        <v/>
      </c>
    </row>
    <row r="12">
      <c r="A12" s="5" t="inlineStr">
        <is>
          <t xml:space="preserve">  less: Aerospace EBITDA shortfall impact</t>
        </is>
      </c>
      <c r="B12" s="80">
        <f>F5</f>
        <v/>
      </c>
    </row>
    <row r="13">
      <c r="A13" s="5" t="inlineStr">
        <is>
          <t xml:space="preserve">  less: Power EBITDA shortfall impact</t>
        </is>
      </c>
      <c r="B13" s="80">
        <f>F6</f>
        <v/>
      </c>
    </row>
    <row r="14">
      <c r="A14" s="5" t="inlineStr">
        <is>
          <t xml:space="preserve">  less: Leasing EBITDA shortfall impact (valued at book)</t>
        </is>
      </c>
      <c r="B14" s="80">
        <f>F7</f>
        <v/>
      </c>
    </row>
    <row r="15">
      <c r="A15" s="3" t="inlineStr">
        <is>
          <t>Our Base SOTP value per share ($)</t>
        </is>
      </c>
      <c r="B15" s="20">
        <f>SUM(B11:B14)</f>
        <v/>
      </c>
    </row>
    <row r="16">
      <c r="A16" s="5" t="inlineStr">
        <is>
          <t xml:space="preserve">  check vs Valuation tab Base SOTP (should be 0)</t>
        </is>
      </c>
      <c r="B16" s="85">
        <f>B15-Valuation!C31</f>
        <v/>
      </c>
    </row>
    <row r="17"/>
    <row r="18">
      <c r="A18" s="10" t="inlineStr">
        <is>
          <t>EBITDA waterfall data (for chart): 2027E segment EBITDA, Mgmt guide to Base</t>
        </is>
      </c>
      <c r="B18" s="11" t="n"/>
      <c r="C18" s="11" t="n"/>
      <c r="D18" s="11" t="n"/>
      <c r="E18" s="11" t="n"/>
      <c r="F18" s="11" t="n"/>
      <c r="G18" s="11" t="n"/>
    </row>
    <row r="19">
      <c r="A19" s="13" t="inlineStr">
        <is>
          <t>Step</t>
        </is>
      </c>
      <c r="B19" s="14" t="inlineStr">
        <is>
          <t>Invisible base</t>
        </is>
      </c>
      <c r="C19" s="14" t="inlineStr">
        <is>
          <t>Amount</t>
        </is>
      </c>
    </row>
    <row r="20">
      <c r="A20" s="5" t="inlineStr">
        <is>
          <t>Mgmt guide</t>
        </is>
      </c>
      <c r="B20" s="60" t="n">
        <v>0</v>
      </c>
      <c r="C20" s="60">
        <f>B8</f>
        <v/>
      </c>
    </row>
    <row r="21">
      <c r="A21" s="5" t="inlineStr">
        <is>
          <t>Aerospace</t>
        </is>
      </c>
      <c r="B21" s="60">
        <f>B8+D5</f>
        <v/>
      </c>
      <c r="C21" s="60">
        <f>-D5</f>
        <v/>
      </c>
    </row>
    <row r="22">
      <c r="A22" s="5" t="inlineStr">
        <is>
          <t>Power</t>
        </is>
      </c>
      <c r="B22" s="60">
        <f>B8+D5+D6</f>
        <v/>
      </c>
      <c r="C22" s="60">
        <f>-D6</f>
        <v/>
      </c>
    </row>
    <row r="23">
      <c r="A23" s="5" t="inlineStr">
        <is>
          <t>Leasing</t>
        </is>
      </c>
      <c r="B23" s="60">
        <f>C8</f>
        <v/>
      </c>
      <c r="C23" s="60">
        <f>-D7</f>
        <v/>
      </c>
    </row>
    <row r="24">
      <c r="A24" s="5" t="inlineStr">
        <is>
          <t>Our Base</t>
        </is>
      </c>
      <c r="B24" s="60" t="n">
        <v>0</v>
      </c>
      <c r="C24" s="60">
        <f>C8</f>
        <v/>
      </c>
    </row>
    <row r="25"/>
    <row r="26"/>
    <row r="27"/>
    <row r="28"/>
    <row r="29"/>
    <row r="30"/>
    <row r="31"/>
    <row r="32"/>
    <row r="33">
      <c r="A33" s="10" t="inlineStr">
        <is>
          <t>From the guide to our numbers (snapshot values, all four scenarios)</t>
        </is>
      </c>
      <c r="B33" s="11" t="n"/>
      <c r="C33" s="11" t="n"/>
      <c r="D33" s="11" t="n"/>
      <c r="E33" s="11" t="n"/>
      <c r="F33" s="11" t="n"/>
      <c r="G33" s="11" t="n"/>
    </row>
    <row r="34">
      <c r="A34" s="13" t="inlineStr">
        <is>
          <t>Metric</t>
        </is>
      </c>
      <c r="B34" s="14" t="inlineStr">
        <is>
          <t>Bear</t>
        </is>
      </c>
      <c r="C34" s="14" t="inlineStr">
        <is>
          <t>Base</t>
        </is>
      </c>
      <c r="D34" s="14" t="inlineStr">
        <is>
          <t>Bull</t>
        </is>
      </c>
      <c r="E34" s="14" t="inlineStr">
        <is>
          <t>Mgmt Guide</t>
        </is>
      </c>
    </row>
    <row r="35">
      <c r="A35" s="5" t="inlineStr">
        <is>
          <t>FY27E total Adj. EBITDA (company basis)</t>
        </is>
      </c>
      <c r="B35" s="34">
        <f>Valuation!B87</f>
        <v/>
      </c>
      <c r="C35" s="34">
        <f>Valuation!C87</f>
        <v/>
      </c>
      <c r="D35" s="34">
        <f>Valuation!D87</f>
        <v/>
      </c>
      <c r="E35" s="34">
        <f>Valuation!E87</f>
        <v/>
      </c>
    </row>
    <row r="36">
      <c r="A36" s="5" t="inlineStr">
        <is>
          <t>FY27E diluted EPS ($)</t>
        </is>
      </c>
      <c r="B36" s="6">
        <f>Valuation!B89</f>
        <v/>
      </c>
      <c r="C36" s="6">
        <f>Valuation!C89</f>
        <v/>
      </c>
      <c r="D36" s="6">
        <f>Valuation!D89</f>
        <v/>
      </c>
      <c r="E36" s="6">
        <f>Valuation!E89</f>
        <v/>
      </c>
    </row>
    <row r="37">
      <c r="A37" s="5" t="inlineStr">
        <is>
          <t>SOTP value per share ($)</t>
        </is>
      </c>
      <c r="B37" s="6">
        <f>Valuation!B90</f>
        <v/>
      </c>
      <c r="C37" s="6">
        <f>Valuation!C90</f>
        <v/>
      </c>
      <c r="D37" s="6">
        <f>Valuation!D90</f>
        <v/>
      </c>
      <c r="E37" s="6">
        <f>Valuation!E90</f>
        <v/>
      </c>
    </row>
    <row r="38">
      <c r="A38" s="5" t="inlineStr">
        <is>
          <t>P/E value per share ($)</t>
        </is>
      </c>
      <c r="B38" s="6">
        <f>Valuation!B91</f>
        <v/>
      </c>
      <c r="C38" s="6">
        <f>Valuation!C91</f>
        <v/>
      </c>
      <c r="D38" s="6">
        <f>Valuation!D91</f>
        <v/>
      </c>
      <c r="E38" s="6">
        <f>Valuation!E91</f>
        <v/>
      </c>
    </row>
    <row r="39">
      <c r="A39" s="5" t="inlineStr">
        <is>
          <t>DCF value per share ($)</t>
        </is>
      </c>
      <c r="B39" s="6">
        <f>Valuation!B92</f>
        <v/>
      </c>
      <c r="C39" s="6">
        <f>Valuation!C92</f>
        <v/>
      </c>
      <c r="D39" s="6">
        <f>Valuation!D92</f>
        <v/>
      </c>
      <c r="E39" s="6">
        <f>Valuation!E92</f>
        <v/>
      </c>
    </row>
    <row r="40">
      <c r="A40" s="5" t="inlineStr">
        <is>
          <t>Blended value per share ($)</t>
        </is>
      </c>
      <c r="B40" s="6">
        <f>Valuation!B93</f>
        <v/>
      </c>
      <c r="C40" s="6">
        <f>Valuation!C93</f>
        <v/>
      </c>
      <c r="D40" s="6">
        <f>Valuation!D93</f>
        <v/>
      </c>
      <c r="E40" s="6">
        <f>Valuation!E93</f>
        <v/>
      </c>
    </row>
    <row r="41"/>
    <row r="42">
      <c r="A42" s="10" t="inlineStr">
        <is>
          <t>Second bridge: Street mean PT (~$330, methodology not public) to our price target (narrative table)</t>
        </is>
      </c>
      <c r="B42" s="11" t="n"/>
      <c r="C42" s="11" t="n"/>
      <c r="D42" s="11" t="n"/>
      <c r="E42" s="11" t="n"/>
      <c r="F42" s="11" t="n"/>
      <c r="G42" s="11" t="n"/>
    </row>
    <row r="43">
      <c r="A43" s="13" t="inlineStr">
        <is>
          <t>Step</t>
        </is>
      </c>
      <c r="B43" s="14" t="inlineStr">
        <is>
          <t>$/share</t>
        </is>
      </c>
      <c r="C43" s="14" t="inlineStr">
        <is>
          <t>Explanation</t>
        </is>
      </c>
    </row>
    <row r="44" ht="54.5" customHeight="1">
      <c r="A44" s="3" t="inlineStr">
        <is>
          <t>Street mean price target (7 dated post-June PTs)</t>
        </is>
      </c>
      <c r="B44" s="6">
        <f>Drivers!$D$215</f>
        <v/>
      </c>
      <c r="C44" s="39" t="inlineStr">
        <is>
          <t>Mean of 290/300/310/350/360/375/325. All Buy-rated; methodology not public</t>
        </is>
      </c>
    </row>
    <row r="45" ht="54.5" customHeight="1">
      <c r="A45" s="5" t="inlineStr">
        <is>
          <t>SOTP at the full 2027 guide (our multiples)</t>
        </is>
      </c>
      <c r="B45" s="19">
        <f>B11</f>
        <v/>
      </c>
      <c r="C45" s="39" t="inlineStr">
        <is>
          <t>What management's $2.3B is worth on our peer-based multiples and book-value Leasing</t>
        </is>
      </c>
    </row>
    <row r="46" ht="86" customHeight="1">
      <c r="A46" s="5" t="inlineStr">
        <is>
          <t xml:space="preserve">  Street premium to guide-SOTP: not explained by any public methodology</t>
        </is>
      </c>
      <c r="B46" s="19">
        <f>B45-B44</f>
        <v/>
      </c>
      <c r="C46" s="39" t="inlineStr">
        <is>
          <t>Implies a premium multiple, 2028+ growth, or Power/SCI franchise value beyond the 2027 guide. Cannot be reproduced from sourced data</t>
        </is>
      </c>
    </row>
    <row r="47" ht="65" customHeight="1">
      <c r="A47" s="5" t="inlineStr">
        <is>
          <t xml:space="preserve">  Our haircut: guide to Base EBITDA (Aerospace volume, Power timing, Leasing run-rate)</t>
        </is>
      </c>
      <c r="B47" s="19">
        <f>B15-B11</f>
        <v/>
      </c>
      <c r="C47" s="39" t="inlineStr">
        <is>
          <t>Aerospace 1,500 vs 1,700 modules; Power 44 vs 60 units; Leasing at Q2 run-rate plus partial SCI II</t>
        </is>
      </c>
    </row>
    <row r="48">
      <c r="A48" s="5" t="inlineStr">
        <is>
          <t>Our Base SOTP</t>
        </is>
      </c>
      <c r="B48" s="19">
        <f>B15</f>
        <v/>
      </c>
      <c r="C48" s="39" t="inlineStr"/>
    </row>
    <row r="49" ht="44" customHeight="1">
      <c r="A49" s="3" t="inlineStr">
        <is>
          <t>Our probability-weighted blended value</t>
        </is>
      </c>
      <c r="B49" s="6">
        <f>Valuation!B98</f>
        <v/>
      </c>
      <c r="C49" s="39" t="inlineStr">
        <is>
          <t>SOTP / P/E / DCF blend, weighted over Bear/Base/Bull/Mgmt scenarios</t>
        </is>
      </c>
    </row>
    <row r="50">
      <c r="A50" s="3" t="inlineStr">
        <is>
          <t>Total gap: Street mean PT to our probability-weighted value</t>
        </is>
      </c>
      <c r="B50" s="19">
        <f>B49-B44</f>
        <v/>
      </c>
      <c r="C50" s="39" t="inlineStr"/>
    </row>
    <row r="51"/>
    <row r="52"/>
  </sheetData>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I3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Sensitivity: explicit formula grids (Excel Data Tables are not available from openpyxl)</t>
        </is>
      </c>
    </row>
    <row r="2">
      <c r="A2" s="2" t="inlineStr">
        <is>
          <t>Grids 1-2 use the Base scenario's other segments and the SOTP bridge. Grid 3 recomputes FY26 clean FCF analytically around the selected scenario. Green = above current price (grids 1-2) / above zero (grid 3); red = below.</t>
        </is>
      </c>
    </row>
    <row r="4">
      <c r="A4" s="10" t="inlineStr">
        <is>
          <t>Grid 1: SOTP value per share ($): 2027E Aerospace EBITDA (rows) x Aerospace EV/EBITDA multiple (columns); Base Power and Leasing</t>
        </is>
      </c>
      <c r="B4" s="11" t="n"/>
      <c r="C4" s="11" t="n"/>
      <c r="D4" s="11" t="n"/>
      <c r="E4" s="11" t="n"/>
      <c r="F4" s="11" t="n"/>
      <c r="G4" s="11" t="n"/>
      <c r="H4" s="11" t="n"/>
      <c r="I4" s="11" t="n"/>
    </row>
    <row r="5">
      <c r="A5" s="3" t="inlineStr">
        <is>
          <t>Aerospace EBITDA ($M)  \  multiple</t>
        </is>
      </c>
      <c r="B5" s="86" t="n">
        <v>10</v>
      </c>
      <c r="C5" s="86" t="n">
        <v>11.7</v>
      </c>
      <c r="D5" s="86" t="n">
        <v>13</v>
      </c>
      <c r="E5" s="86" t="n">
        <v>14.5</v>
      </c>
      <c r="F5" s="86" t="n">
        <v>16</v>
      </c>
      <c r="G5" s="86" t="n">
        <v>18</v>
      </c>
    </row>
    <row r="6">
      <c r="A6" s="87" t="n">
        <v>900</v>
      </c>
      <c r="B6" s="19">
        <f>($A6*B$5+Drivers!$E$264*Drivers!D$198+Drivers!$D$188*Drivers!D$205-(Drivers!$D$185+Drivers!$D$187*Drivers!$D$186))/Drivers!$D$181</f>
        <v/>
      </c>
      <c r="C6" s="19">
        <f>($A6*C$5+Drivers!$E$264*Drivers!D$198+Drivers!$D$188*Drivers!D$205-(Drivers!$D$185+Drivers!$D$187*Drivers!$D$186))/Drivers!$D$181</f>
        <v/>
      </c>
      <c r="D6" s="19">
        <f>($A6*D$5+Drivers!$E$264*Drivers!D$198+Drivers!$D$188*Drivers!D$205-(Drivers!$D$185+Drivers!$D$187*Drivers!$D$186))/Drivers!$D$181</f>
        <v/>
      </c>
      <c r="E6" s="19">
        <f>($A6*E$5+Drivers!$E$264*Drivers!D$198+Drivers!$D$188*Drivers!D$205-(Drivers!$D$185+Drivers!$D$187*Drivers!$D$186))/Drivers!$D$181</f>
        <v/>
      </c>
      <c r="F6" s="19">
        <f>($A6*F$5+Drivers!$E$264*Drivers!D$198+Drivers!$D$188*Drivers!D$205-(Drivers!$D$185+Drivers!$D$187*Drivers!$D$186))/Drivers!$D$181</f>
        <v/>
      </c>
      <c r="G6" s="19">
        <f>($A6*G$5+Drivers!$E$264*Drivers!D$198+Drivers!$D$188*Drivers!D$205-(Drivers!$D$185+Drivers!$D$187*Drivers!$D$186))/Drivers!$D$181</f>
        <v/>
      </c>
    </row>
    <row r="7">
      <c r="A7" s="87" t="n">
        <v>1050</v>
      </c>
      <c r="B7" s="19">
        <f>($A7*B$5+Drivers!$E$264*Drivers!D$198+Drivers!$D$188*Drivers!D$205-(Drivers!$D$185+Drivers!$D$187*Drivers!$D$186))/Drivers!$D$181</f>
        <v/>
      </c>
      <c r="C7" s="19">
        <f>($A7*C$5+Drivers!$E$264*Drivers!D$198+Drivers!$D$188*Drivers!D$205-(Drivers!$D$185+Drivers!$D$187*Drivers!$D$186))/Drivers!$D$181</f>
        <v/>
      </c>
      <c r="D7" s="19">
        <f>($A7*D$5+Drivers!$E$264*Drivers!D$198+Drivers!$D$188*Drivers!D$205-(Drivers!$D$185+Drivers!$D$187*Drivers!$D$186))/Drivers!$D$181</f>
        <v/>
      </c>
      <c r="E7" s="19">
        <f>($A7*E$5+Drivers!$E$264*Drivers!D$198+Drivers!$D$188*Drivers!D$205-(Drivers!$D$185+Drivers!$D$187*Drivers!$D$186))/Drivers!$D$181</f>
        <v/>
      </c>
      <c r="F7" s="19">
        <f>($A7*F$5+Drivers!$E$264*Drivers!D$198+Drivers!$D$188*Drivers!D$205-(Drivers!$D$185+Drivers!$D$187*Drivers!$D$186))/Drivers!$D$181</f>
        <v/>
      </c>
      <c r="G7" s="19">
        <f>($A7*G$5+Drivers!$E$264*Drivers!D$198+Drivers!$D$188*Drivers!D$205-(Drivers!$D$185+Drivers!$D$187*Drivers!$D$186))/Drivers!$D$181</f>
        <v/>
      </c>
    </row>
    <row r="8">
      <c r="A8" s="87" t="n">
        <v>1150</v>
      </c>
      <c r="B8" s="19">
        <f>($A8*B$5+Drivers!$E$264*Drivers!D$198+Drivers!$D$188*Drivers!D$205-(Drivers!$D$185+Drivers!$D$187*Drivers!$D$186))/Drivers!$D$181</f>
        <v/>
      </c>
      <c r="C8" s="19">
        <f>($A8*C$5+Drivers!$E$264*Drivers!D$198+Drivers!$D$188*Drivers!D$205-(Drivers!$D$185+Drivers!$D$187*Drivers!$D$186))/Drivers!$D$181</f>
        <v/>
      </c>
      <c r="D8" s="19">
        <f>($A8*D$5+Drivers!$E$264*Drivers!D$198+Drivers!$D$188*Drivers!D$205-(Drivers!$D$185+Drivers!$D$187*Drivers!$D$186))/Drivers!$D$181</f>
        <v/>
      </c>
      <c r="E8" s="19">
        <f>($A8*E$5+Drivers!$E$264*Drivers!D$198+Drivers!$D$188*Drivers!D$205-(Drivers!$D$185+Drivers!$D$187*Drivers!$D$186))/Drivers!$D$181</f>
        <v/>
      </c>
      <c r="F8" s="19">
        <f>($A8*F$5+Drivers!$E$264*Drivers!D$198+Drivers!$D$188*Drivers!D$205-(Drivers!$D$185+Drivers!$D$187*Drivers!$D$186))/Drivers!$D$181</f>
        <v/>
      </c>
      <c r="G8" s="19">
        <f>($A8*G$5+Drivers!$E$264*Drivers!D$198+Drivers!$D$188*Drivers!D$205-(Drivers!$D$185+Drivers!$D$187*Drivers!$D$186))/Drivers!$D$181</f>
        <v/>
      </c>
    </row>
    <row r="9">
      <c r="A9" s="87" t="n">
        <v>1230</v>
      </c>
      <c r="B9" s="19">
        <f>($A9*B$5+Drivers!$E$264*Drivers!D$198+Drivers!$D$188*Drivers!D$205-(Drivers!$D$185+Drivers!$D$187*Drivers!$D$186))/Drivers!$D$181</f>
        <v/>
      </c>
      <c r="C9" s="19">
        <f>($A9*C$5+Drivers!$E$264*Drivers!D$198+Drivers!$D$188*Drivers!D$205-(Drivers!$D$185+Drivers!$D$187*Drivers!$D$186))/Drivers!$D$181</f>
        <v/>
      </c>
      <c r="D9" s="19">
        <f>($A9*D$5+Drivers!$E$264*Drivers!D$198+Drivers!$D$188*Drivers!D$205-(Drivers!$D$185+Drivers!$D$187*Drivers!$D$186))/Drivers!$D$181</f>
        <v/>
      </c>
      <c r="E9" s="19">
        <f>($A9*E$5+Drivers!$E$264*Drivers!D$198+Drivers!$D$188*Drivers!D$205-(Drivers!$D$185+Drivers!$D$187*Drivers!$D$186))/Drivers!$D$181</f>
        <v/>
      </c>
      <c r="F9" s="19">
        <f>($A9*F$5+Drivers!$E$264*Drivers!D$198+Drivers!$D$188*Drivers!D$205-(Drivers!$D$185+Drivers!$D$187*Drivers!$D$186))/Drivers!$D$181</f>
        <v/>
      </c>
      <c r="G9" s="19">
        <f>($A9*G$5+Drivers!$E$264*Drivers!D$198+Drivers!$D$188*Drivers!D$205-(Drivers!$D$185+Drivers!$D$187*Drivers!$D$186))/Drivers!$D$181</f>
        <v/>
      </c>
    </row>
    <row r="10">
      <c r="A10" s="87" t="n">
        <v>1300</v>
      </c>
      <c r="B10" s="19">
        <f>($A10*B$5+Drivers!$E$264*Drivers!D$198+Drivers!$D$188*Drivers!D$205-(Drivers!$D$185+Drivers!$D$187*Drivers!$D$186))/Drivers!$D$181</f>
        <v/>
      </c>
      <c r="C10" s="19">
        <f>($A10*C$5+Drivers!$E$264*Drivers!D$198+Drivers!$D$188*Drivers!D$205-(Drivers!$D$185+Drivers!$D$187*Drivers!$D$186))/Drivers!$D$181</f>
        <v/>
      </c>
      <c r="D10" s="19">
        <f>($A10*D$5+Drivers!$E$264*Drivers!D$198+Drivers!$D$188*Drivers!D$205-(Drivers!$D$185+Drivers!$D$187*Drivers!$D$186))/Drivers!$D$181</f>
        <v/>
      </c>
      <c r="E10" s="19">
        <f>($A10*E$5+Drivers!$E$264*Drivers!D$198+Drivers!$D$188*Drivers!D$205-(Drivers!$D$185+Drivers!$D$187*Drivers!$D$186))/Drivers!$D$181</f>
        <v/>
      </c>
      <c r="F10" s="19">
        <f>($A10*F$5+Drivers!$E$264*Drivers!D$198+Drivers!$D$188*Drivers!D$205-(Drivers!$D$185+Drivers!$D$187*Drivers!$D$186))/Drivers!$D$181</f>
        <v/>
      </c>
      <c r="G10" s="19">
        <f>($A10*G$5+Drivers!$E$264*Drivers!D$198+Drivers!$D$188*Drivers!D$205-(Drivers!$D$185+Drivers!$D$187*Drivers!$D$186))/Drivers!$D$181</f>
        <v/>
      </c>
    </row>
    <row r="11">
      <c r="A11" s="87" t="n">
        <v>1400</v>
      </c>
      <c r="B11" s="19">
        <f>($A11*B$5+Drivers!$E$264*Drivers!D$198+Drivers!$D$188*Drivers!D$205-(Drivers!$D$185+Drivers!$D$187*Drivers!$D$186))/Drivers!$D$181</f>
        <v/>
      </c>
      <c r="C11" s="19">
        <f>($A11*C$5+Drivers!$E$264*Drivers!D$198+Drivers!$D$188*Drivers!D$205-(Drivers!$D$185+Drivers!$D$187*Drivers!$D$186))/Drivers!$D$181</f>
        <v/>
      </c>
      <c r="D11" s="19">
        <f>($A11*D$5+Drivers!$E$264*Drivers!D$198+Drivers!$D$188*Drivers!D$205-(Drivers!$D$185+Drivers!$D$187*Drivers!$D$186))/Drivers!$D$181</f>
        <v/>
      </c>
      <c r="E11" s="19">
        <f>($A11*E$5+Drivers!$E$264*Drivers!D$198+Drivers!$D$188*Drivers!D$205-(Drivers!$D$185+Drivers!$D$187*Drivers!$D$186))/Drivers!$D$181</f>
        <v/>
      </c>
      <c r="F11" s="19">
        <f>($A11*F$5+Drivers!$E$264*Drivers!D$198+Drivers!$D$188*Drivers!D$205-(Drivers!$D$185+Drivers!$D$187*Drivers!$D$186))/Drivers!$D$181</f>
        <v/>
      </c>
      <c r="G11" s="19">
        <f>($A11*G$5+Drivers!$E$264*Drivers!D$198+Drivers!$D$188*Drivers!D$205-(Drivers!$D$185+Drivers!$D$187*Drivers!$D$186))/Drivers!$D$181</f>
        <v/>
      </c>
    </row>
    <row r="12">
      <c r="A12" s="87" t="n">
        <v>1430</v>
      </c>
      <c r="B12" s="19">
        <f>($A12*B$5+Drivers!$E$264*Drivers!D$198+Drivers!$D$188*Drivers!D$205-(Drivers!$D$185+Drivers!$D$187*Drivers!$D$186))/Drivers!$D$181</f>
        <v/>
      </c>
      <c r="C12" s="19">
        <f>($A12*C$5+Drivers!$E$264*Drivers!D$198+Drivers!$D$188*Drivers!D$205-(Drivers!$D$185+Drivers!$D$187*Drivers!$D$186))/Drivers!$D$181</f>
        <v/>
      </c>
      <c r="D12" s="19">
        <f>($A12*D$5+Drivers!$E$264*Drivers!D$198+Drivers!$D$188*Drivers!D$205-(Drivers!$D$185+Drivers!$D$187*Drivers!$D$186))/Drivers!$D$181</f>
        <v/>
      </c>
      <c r="E12" s="19">
        <f>($A12*E$5+Drivers!$E$264*Drivers!D$198+Drivers!$D$188*Drivers!D$205-(Drivers!$D$185+Drivers!$D$187*Drivers!$D$186))/Drivers!$D$181</f>
        <v/>
      </c>
      <c r="F12" s="19">
        <f>($A12*F$5+Drivers!$E$264*Drivers!D$198+Drivers!$D$188*Drivers!D$205-(Drivers!$D$185+Drivers!$D$187*Drivers!$D$186))/Drivers!$D$181</f>
        <v/>
      </c>
      <c r="G12" s="19">
        <f>($A12*G$5+Drivers!$E$264*Drivers!D$198+Drivers!$D$188*Drivers!D$205-(Drivers!$D$185+Drivers!$D$187*Drivers!$D$186))/Drivers!$D$181</f>
        <v/>
      </c>
    </row>
    <row r="13">
      <c r="A13" s="87" t="n">
        <v>1550</v>
      </c>
      <c r="B13" s="19">
        <f>($A13*B$5+Drivers!$E$264*Drivers!D$198+Drivers!$D$188*Drivers!D$205-(Drivers!$D$185+Drivers!$D$187*Drivers!$D$186))/Drivers!$D$181</f>
        <v/>
      </c>
      <c r="C13" s="19">
        <f>($A13*C$5+Drivers!$E$264*Drivers!D$198+Drivers!$D$188*Drivers!D$205-(Drivers!$D$185+Drivers!$D$187*Drivers!$D$186))/Drivers!$D$181</f>
        <v/>
      </c>
      <c r="D13" s="19">
        <f>($A13*D$5+Drivers!$E$264*Drivers!D$198+Drivers!$D$188*Drivers!D$205-(Drivers!$D$185+Drivers!$D$187*Drivers!$D$186))/Drivers!$D$181</f>
        <v/>
      </c>
      <c r="E13" s="19">
        <f>($A13*E$5+Drivers!$E$264*Drivers!D$198+Drivers!$D$188*Drivers!D$205-(Drivers!$D$185+Drivers!$D$187*Drivers!$D$186))/Drivers!$D$181</f>
        <v/>
      </c>
      <c r="F13" s="19">
        <f>($A13*F$5+Drivers!$E$264*Drivers!D$198+Drivers!$D$188*Drivers!D$205-(Drivers!$D$185+Drivers!$D$187*Drivers!$D$186))/Drivers!$D$181</f>
        <v/>
      </c>
      <c r="G13" s="19">
        <f>($A13*G$5+Drivers!$E$264*Drivers!D$198+Drivers!$D$188*Drivers!D$205-(Drivers!$D$185+Drivers!$D$187*Drivers!$D$186))/Drivers!$D$181</f>
        <v/>
      </c>
    </row>
    <row r="14">
      <c r="A14" s="87" t="n">
        <v>1700</v>
      </c>
      <c r="B14" s="19">
        <f>($A14*B$5+Drivers!$E$264*Drivers!D$198+Drivers!$D$188*Drivers!D$205-(Drivers!$D$185+Drivers!$D$187*Drivers!$D$186))/Drivers!$D$181</f>
        <v/>
      </c>
      <c r="C14" s="19">
        <f>($A14*C$5+Drivers!$E$264*Drivers!D$198+Drivers!$D$188*Drivers!D$205-(Drivers!$D$185+Drivers!$D$187*Drivers!$D$186))/Drivers!$D$181</f>
        <v/>
      </c>
      <c r="D14" s="19">
        <f>($A14*D$5+Drivers!$E$264*Drivers!D$198+Drivers!$D$188*Drivers!D$205-(Drivers!$D$185+Drivers!$D$187*Drivers!$D$186))/Drivers!$D$181</f>
        <v/>
      </c>
      <c r="E14" s="19">
        <f>($A14*E$5+Drivers!$E$264*Drivers!D$198+Drivers!$D$188*Drivers!D$205-(Drivers!$D$185+Drivers!$D$187*Drivers!$D$186))/Drivers!$D$181</f>
        <v/>
      </c>
      <c r="F14" s="19">
        <f>($A14*F$5+Drivers!$E$264*Drivers!D$198+Drivers!$D$188*Drivers!D$205-(Drivers!$D$185+Drivers!$D$187*Drivers!$D$186))/Drivers!$D$181</f>
        <v/>
      </c>
      <c r="G14" s="19">
        <f>($A14*G$5+Drivers!$E$264*Drivers!D$198+Drivers!$D$188*Drivers!D$205-(Drivers!$D$185+Drivers!$D$187*Drivers!$D$186))/Drivers!$D$181</f>
        <v/>
      </c>
    </row>
    <row r="16">
      <c r="A16" s="10" t="inlineStr">
        <is>
          <t>Grid 2: SOTP value per share ($): 2027E Power units (rows) x EBITDA per unit $M (columns); Base Aerospace and Leasing</t>
        </is>
      </c>
      <c r="B16" s="11" t="n"/>
      <c r="C16" s="11" t="n"/>
      <c r="D16" s="11" t="n"/>
      <c r="E16" s="11" t="n"/>
      <c r="F16" s="11" t="n"/>
      <c r="G16" s="11" t="n"/>
      <c r="H16" s="11" t="n"/>
      <c r="I16" s="11" t="n"/>
    </row>
    <row r="17">
      <c r="A17" s="3" t="inlineStr">
        <is>
          <t>Power units delivered in 2027  \  EBITDA per unit ($M)</t>
        </is>
      </c>
      <c r="B17" s="88" t="n">
        <v>4</v>
      </c>
      <c r="C17" s="88" t="n">
        <v>5</v>
      </c>
      <c r="D17" s="88" t="n">
        <v>6</v>
      </c>
      <c r="E17" s="88" t="n">
        <v>7.5</v>
      </c>
      <c r="F17" s="88" t="n">
        <v>9</v>
      </c>
      <c r="G17" s="88" t="n">
        <v>10</v>
      </c>
    </row>
    <row r="18">
      <c r="A18" s="87" t="n">
        <v>0</v>
      </c>
      <c r="B18" s="19">
        <f>(Drivers!$E$263*Drivers!D$191+$A18*B$17*Drivers!D$198+Drivers!$D$188*Drivers!D$205-(Drivers!$D$185+Drivers!$D$187*Drivers!$D$186))/Drivers!$D$181</f>
        <v/>
      </c>
      <c r="C18" s="19">
        <f>(Drivers!$E$263*Drivers!D$191+$A18*C$17*Drivers!D$198+Drivers!$D$188*Drivers!D$205-(Drivers!$D$185+Drivers!$D$187*Drivers!$D$186))/Drivers!$D$181</f>
        <v/>
      </c>
      <c r="D18" s="19">
        <f>(Drivers!$E$263*Drivers!D$191+$A18*D$17*Drivers!D$198+Drivers!$D$188*Drivers!D$205-(Drivers!$D$185+Drivers!$D$187*Drivers!$D$186))/Drivers!$D$181</f>
        <v/>
      </c>
      <c r="E18" s="19">
        <f>(Drivers!$E$263*Drivers!D$191+$A18*E$17*Drivers!D$198+Drivers!$D$188*Drivers!D$205-(Drivers!$D$185+Drivers!$D$187*Drivers!$D$186))/Drivers!$D$181</f>
        <v/>
      </c>
      <c r="F18" s="19">
        <f>(Drivers!$E$263*Drivers!D$191+$A18*F$17*Drivers!D$198+Drivers!$D$188*Drivers!D$205-(Drivers!$D$185+Drivers!$D$187*Drivers!$D$186))/Drivers!$D$181</f>
        <v/>
      </c>
      <c r="G18" s="19">
        <f>(Drivers!$E$263*Drivers!D$191+$A18*G$17*Drivers!D$198+Drivers!$D$188*Drivers!D$205-(Drivers!$D$185+Drivers!$D$187*Drivers!$D$186))/Drivers!$D$181</f>
        <v/>
      </c>
    </row>
    <row r="19">
      <c r="A19" s="87" t="n">
        <v>10</v>
      </c>
      <c r="B19" s="19">
        <f>(Drivers!$E$263*Drivers!D$191+$A19*B$17*Drivers!D$198+Drivers!$D$188*Drivers!D$205-(Drivers!$D$185+Drivers!$D$187*Drivers!$D$186))/Drivers!$D$181</f>
        <v/>
      </c>
      <c r="C19" s="19">
        <f>(Drivers!$E$263*Drivers!D$191+$A19*C$17*Drivers!D$198+Drivers!$D$188*Drivers!D$205-(Drivers!$D$185+Drivers!$D$187*Drivers!$D$186))/Drivers!$D$181</f>
        <v/>
      </c>
      <c r="D19" s="19">
        <f>(Drivers!$E$263*Drivers!D$191+$A19*D$17*Drivers!D$198+Drivers!$D$188*Drivers!D$205-(Drivers!$D$185+Drivers!$D$187*Drivers!$D$186))/Drivers!$D$181</f>
        <v/>
      </c>
      <c r="E19" s="19">
        <f>(Drivers!$E$263*Drivers!D$191+$A19*E$17*Drivers!D$198+Drivers!$D$188*Drivers!D$205-(Drivers!$D$185+Drivers!$D$187*Drivers!$D$186))/Drivers!$D$181</f>
        <v/>
      </c>
      <c r="F19" s="19">
        <f>(Drivers!$E$263*Drivers!D$191+$A19*F$17*Drivers!D$198+Drivers!$D$188*Drivers!D$205-(Drivers!$D$185+Drivers!$D$187*Drivers!$D$186))/Drivers!$D$181</f>
        <v/>
      </c>
      <c r="G19" s="19">
        <f>(Drivers!$E$263*Drivers!D$191+$A19*G$17*Drivers!D$198+Drivers!$D$188*Drivers!D$205-(Drivers!$D$185+Drivers!$D$187*Drivers!$D$186))/Drivers!$D$181</f>
        <v/>
      </c>
    </row>
    <row r="20">
      <c r="A20" s="87" t="n">
        <v>20</v>
      </c>
      <c r="B20" s="19">
        <f>(Drivers!$E$263*Drivers!D$191+$A20*B$17*Drivers!D$198+Drivers!$D$188*Drivers!D$205-(Drivers!$D$185+Drivers!$D$187*Drivers!$D$186))/Drivers!$D$181</f>
        <v/>
      </c>
      <c r="C20" s="19">
        <f>(Drivers!$E$263*Drivers!D$191+$A20*C$17*Drivers!D$198+Drivers!$D$188*Drivers!D$205-(Drivers!$D$185+Drivers!$D$187*Drivers!$D$186))/Drivers!$D$181</f>
        <v/>
      </c>
      <c r="D20" s="19">
        <f>(Drivers!$E$263*Drivers!D$191+$A20*D$17*Drivers!D$198+Drivers!$D$188*Drivers!D$205-(Drivers!$D$185+Drivers!$D$187*Drivers!$D$186))/Drivers!$D$181</f>
        <v/>
      </c>
      <c r="E20" s="19">
        <f>(Drivers!$E$263*Drivers!D$191+$A20*E$17*Drivers!D$198+Drivers!$D$188*Drivers!D$205-(Drivers!$D$185+Drivers!$D$187*Drivers!$D$186))/Drivers!$D$181</f>
        <v/>
      </c>
      <c r="F20" s="19">
        <f>(Drivers!$E$263*Drivers!D$191+$A20*F$17*Drivers!D$198+Drivers!$D$188*Drivers!D$205-(Drivers!$D$185+Drivers!$D$187*Drivers!$D$186))/Drivers!$D$181</f>
        <v/>
      </c>
      <c r="G20" s="19">
        <f>(Drivers!$E$263*Drivers!D$191+$A20*G$17*Drivers!D$198+Drivers!$D$188*Drivers!D$205-(Drivers!$D$185+Drivers!$D$187*Drivers!$D$186))/Drivers!$D$181</f>
        <v/>
      </c>
    </row>
    <row r="21">
      <c r="A21" s="87" t="n">
        <v>30</v>
      </c>
      <c r="B21" s="19">
        <f>(Drivers!$E$263*Drivers!D$191+$A21*B$17*Drivers!D$198+Drivers!$D$188*Drivers!D$205-(Drivers!$D$185+Drivers!$D$187*Drivers!$D$186))/Drivers!$D$181</f>
        <v/>
      </c>
      <c r="C21" s="19">
        <f>(Drivers!$E$263*Drivers!D$191+$A21*C$17*Drivers!D$198+Drivers!$D$188*Drivers!D$205-(Drivers!$D$185+Drivers!$D$187*Drivers!$D$186))/Drivers!$D$181</f>
        <v/>
      </c>
      <c r="D21" s="19">
        <f>(Drivers!$E$263*Drivers!D$191+$A21*D$17*Drivers!D$198+Drivers!$D$188*Drivers!D$205-(Drivers!$D$185+Drivers!$D$187*Drivers!$D$186))/Drivers!$D$181</f>
        <v/>
      </c>
      <c r="E21" s="19">
        <f>(Drivers!$E$263*Drivers!D$191+$A21*E$17*Drivers!D$198+Drivers!$D$188*Drivers!D$205-(Drivers!$D$185+Drivers!$D$187*Drivers!$D$186))/Drivers!$D$181</f>
        <v/>
      </c>
      <c r="F21" s="19">
        <f>(Drivers!$E$263*Drivers!D$191+$A21*F$17*Drivers!D$198+Drivers!$D$188*Drivers!D$205-(Drivers!$D$185+Drivers!$D$187*Drivers!$D$186))/Drivers!$D$181</f>
        <v/>
      </c>
      <c r="G21" s="19">
        <f>(Drivers!$E$263*Drivers!D$191+$A21*G$17*Drivers!D$198+Drivers!$D$188*Drivers!D$205-(Drivers!$D$185+Drivers!$D$187*Drivers!$D$186))/Drivers!$D$181</f>
        <v/>
      </c>
    </row>
    <row r="22">
      <c r="A22" s="87" t="n">
        <v>44</v>
      </c>
      <c r="B22" s="19">
        <f>(Drivers!$E$263*Drivers!D$191+$A22*B$17*Drivers!D$198+Drivers!$D$188*Drivers!D$205-(Drivers!$D$185+Drivers!$D$187*Drivers!$D$186))/Drivers!$D$181</f>
        <v/>
      </c>
      <c r="C22" s="19">
        <f>(Drivers!$E$263*Drivers!D$191+$A22*C$17*Drivers!D$198+Drivers!$D$188*Drivers!D$205-(Drivers!$D$185+Drivers!$D$187*Drivers!$D$186))/Drivers!$D$181</f>
        <v/>
      </c>
      <c r="D22" s="19">
        <f>(Drivers!$E$263*Drivers!D$191+$A22*D$17*Drivers!D$198+Drivers!$D$188*Drivers!D$205-(Drivers!$D$185+Drivers!$D$187*Drivers!$D$186))/Drivers!$D$181</f>
        <v/>
      </c>
      <c r="E22" s="19">
        <f>(Drivers!$E$263*Drivers!D$191+$A22*E$17*Drivers!D$198+Drivers!$D$188*Drivers!D$205-(Drivers!$D$185+Drivers!$D$187*Drivers!$D$186))/Drivers!$D$181</f>
        <v/>
      </c>
      <c r="F22" s="19">
        <f>(Drivers!$E$263*Drivers!D$191+$A22*F$17*Drivers!D$198+Drivers!$D$188*Drivers!D$205-(Drivers!$D$185+Drivers!$D$187*Drivers!$D$186))/Drivers!$D$181</f>
        <v/>
      </c>
      <c r="G22" s="19">
        <f>(Drivers!$E$263*Drivers!D$191+$A22*G$17*Drivers!D$198+Drivers!$D$188*Drivers!D$205-(Drivers!$D$185+Drivers!$D$187*Drivers!$D$186))/Drivers!$D$181</f>
        <v/>
      </c>
    </row>
    <row r="23">
      <c r="A23" s="87" t="n">
        <v>60</v>
      </c>
      <c r="B23" s="19">
        <f>(Drivers!$E$263*Drivers!D$191+$A23*B$17*Drivers!D$198+Drivers!$D$188*Drivers!D$205-(Drivers!$D$185+Drivers!$D$187*Drivers!$D$186))/Drivers!$D$181</f>
        <v/>
      </c>
      <c r="C23" s="19">
        <f>(Drivers!$E$263*Drivers!D$191+$A23*C$17*Drivers!D$198+Drivers!$D$188*Drivers!D$205-(Drivers!$D$185+Drivers!$D$187*Drivers!$D$186))/Drivers!$D$181</f>
        <v/>
      </c>
      <c r="D23" s="19">
        <f>(Drivers!$E$263*Drivers!D$191+$A23*D$17*Drivers!D$198+Drivers!$D$188*Drivers!D$205-(Drivers!$D$185+Drivers!$D$187*Drivers!$D$186))/Drivers!$D$181</f>
        <v/>
      </c>
      <c r="E23" s="19">
        <f>(Drivers!$E$263*Drivers!D$191+$A23*E$17*Drivers!D$198+Drivers!$D$188*Drivers!D$205-(Drivers!$D$185+Drivers!$D$187*Drivers!$D$186))/Drivers!$D$181</f>
        <v/>
      </c>
      <c r="F23" s="19">
        <f>(Drivers!$E$263*Drivers!D$191+$A23*F$17*Drivers!D$198+Drivers!$D$188*Drivers!D$205-(Drivers!$D$185+Drivers!$D$187*Drivers!$D$186))/Drivers!$D$181</f>
        <v/>
      </c>
      <c r="G23" s="19">
        <f>(Drivers!$E$263*Drivers!D$191+$A23*G$17*Drivers!D$198+Drivers!$D$188*Drivers!D$205-(Drivers!$D$185+Drivers!$D$187*Drivers!$D$186))/Drivers!$D$181</f>
        <v/>
      </c>
    </row>
    <row r="24">
      <c r="A24" s="87" t="n">
        <v>80</v>
      </c>
      <c r="B24" s="19">
        <f>(Drivers!$E$263*Drivers!D$191+$A24*B$17*Drivers!D$198+Drivers!$D$188*Drivers!D$205-(Drivers!$D$185+Drivers!$D$187*Drivers!$D$186))/Drivers!$D$181</f>
        <v/>
      </c>
      <c r="C24" s="19">
        <f>(Drivers!$E$263*Drivers!D$191+$A24*C$17*Drivers!D$198+Drivers!$D$188*Drivers!D$205-(Drivers!$D$185+Drivers!$D$187*Drivers!$D$186))/Drivers!$D$181</f>
        <v/>
      </c>
      <c r="D24" s="19">
        <f>(Drivers!$E$263*Drivers!D$191+$A24*D$17*Drivers!D$198+Drivers!$D$188*Drivers!D$205-(Drivers!$D$185+Drivers!$D$187*Drivers!$D$186))/Drivers!$D$181</f>
        <v/>
      </c>
      <c r="E24" s="19">
        <f>(Drivers!$E$263*Drivers!D$191+$A24*E$17*Drivers!D$198+Drivers!$D$188*Drivers!D$205-(Drivers!$D$185+Drivers!$D$187*Drivers!$D$186))/Drivers!$D$181</f>
        <v/>
      </c>
      <c r="F24" s="19">
        <f>(Drivers!$E$263*Drivers!D$191+$A24*F$17*Drivers!D$198+Drivers!$D$188*Drivers!D$205-(Drivers!$D$185+Drivers!$D$187*Drivers!$D$186))/Drivers!$D$181</f>
        <v/>
      </c>
      <c r="G24" s="19">
        <f>(Drivers!$E$263*Drivers!D$191+$A24*G$17*Drivers!D$198+Drivers!$D$188*Drivers!D$205-(Drivers!$D$185+Drivers!$D$187*Drivers!$D$186))/Drivers!$D$181</f>
        <v/>
      </c>
    </row>
    <row r="25">
      <c r="A25" s="87" t="n">
        <v>100</v>
      </c>
      <c r="B25" s="19">
        <f>(Drivers!$E$263*Drivers!D$191+$A25*B$17*Drivers!D$198+Drivers!$D$188*Drivers!D$205-(Drivers!$D$185+Drivers!$D$187*Drivers!$D$186))/Drivers!$D$181</f>
        <v/>
      </c>
      <c r="C25" s="19">
        <f>(Drivers!$E$263*Drivers!D$191+$A25*C$17*Drivers!D$198+Drivers!$D$188*Drivers!D$205-(Drivers!$D$185+Drivers!$D$187*Drivers!$D$186))/Drivers!$D$181</f>
        <v/>
      </c>
      <c r="D25" s="19">
        <f>(Drivers!$E$263*Drivers!D$191+$A25*D$17*Drivers!D$198+Drivers!$D$188*Drivers!D$205-(Drivers!$D$185+Drivers!$D$187*Drivers!$D$186))/Drivers!$D$181</f>
        <v/>
      </c>
      <c r="E25" s="19">
        <f>(Drivers!$E$263*Drivers!D$191+$A25*E$17*Drivers!D$198+Drivers!$D$188*Drivers!D$205-(Drivers!$D$185+Drivers!$D$187*Drivers!$D$186))/Drivers!$D$181</f>
        <v/>
      </c>
      <c r="F25" s="19">
        <f>(Drivers!$E$263*Drivers!D$191+$A25*F$17*Drivers!D$198+Drivers!$D$188*Drivers!D$205-(Drivers!$D$185+Drivers!$D$187*Drivers!$D$186))/Drivers!$D$181</f>
        <v/>
      </c>
      <c r="G25" s="19">
        <f>(Drivers!$E$263*Drivers!D$191+$A25*G$17*Drivers!D$198+Drivers!$D$188*Drivers!D$205-(Drivers!$D$185+Drivers!$D$187*Drivers!$D$186))/Drivers!$D$181</f>
        <v/>
      </c>
    </row>
    <row r="27">
      <c r="A27" s="10" t="inlineStr">
        <is>
          <t>Grid 3: FY26E clean CFO + CFI ($M): inventory conversion % (rows) x 2H26 Aerospace EBITDA margin (columns), selected scenario</t>
        </is>
      </c>
      <c r="B27" s="11" t="n"/>
      <c r="C27" s="11" t="n"/>
      <c r="D27" s="11" t="n"/>
      <c r="E27" s="11" t="n"/>
      <c r="F27" s="11" t="n"/>
      <c r="G27" s="11" t="n"/>
      <c r="H27" s="11" t="n"/>
      <c r="I27" s="11" t="n"/>
    </row>
    <row r="28">
      <c r="A28" s="3" t="inlineStr">
        <is>
          <t>Inventory conversion %  \  2H26 Aerospace margin</t>
        </is>
      </c>
      <c r="B28" s="89" t="n">
        <v>0.24</v>
      </c>
      <c r="C28" s="89" t="n">
        <v>0.26</v>
      </c>
      <c r="D28" s="89" t="n">
        <v>0.28</v>
      </c>
      <c r="E28" s="89" t="n">
        <v>0.3</v>
      </c>
      <c r="F28" s="89" t="n">
        <v>0.32</v>
      </c>
    </row>
    <row r="29">
      <c r="A29" s="90" t="n">
        <v>0</v>
      </c>
      <c r="B29" s="60">
        <f>Quarterly!$J$74+(B$28-((Quarterly!$D$12+Quarterly!$E$12)/(Quarterly!$D$8+Quarterly!$E$8)))*(Quarterly!$D$8+Quarterly!$E$8)*(1-Drivers!$D$133)-((Drivers!$D$157-$A29*(Drivers!$D$157-Drivers!$D$158)*Drivers!$E$159)*(Quarterly!$E$14-(B$28-((Quarterly!$D$12+Quarterly!$E$12)/(Quarterly!$D$8+Quarterly!$E$8)))*Quarterly!$E$8)/Drivers!$D$19-Quarterly!$E$86)</f>
        <v/>
      </c>
      <c r="C29" s="60">
        <f>Quarterly!$J$74+(C$28-((Quarterly!$D$12+Quarterly!$E$12)/(Quarterly!$D$8+Quarterly!$E$8)))*(Quarterly!$D$8+Quarterly!$E$8)*(1-Drivers!$D$133)-((Drivers!$D$157-$A29*(Drivers!$D$157-Drivers!$D$158)*Drivers!$E$159)*(Quarterly!$E$14-(C$28-((Quarterly!$D$12+Quarterly!$E$12)/(Quarterly!$D$8+Quarterly!$E$8)))*Quarterly!$E$8)/Drivers!$D$19-Quarterly!$E$86)</f>
        <v/>
      </c>
      <c r="D29" s="60">
        <f>Quarterly!$J$74+(D$28-((Quarterly!$D$12+Quarterly!$E$12)/(Quarterly!$D$8+Quarterly!$E$8)))*(Quarterly!$D$8+Quarterly!$E$8)*(1-Drivers!$D$133)-((Drivers!$D$157-$A29*(Drivers!$D$157-Drivers!$D$158)*Drivers!$E$159)*(Quarterly!$E$14-(D$28-((Quarterly!$D$12+Quarterly!$E$12)/(Quarterly!$D$8+Quarterly!$E$8)))*Quarterly!$E$8)/Drivers!$D$19-Quarterly!$E$86)</f>
        <v/>
      </c>
      <c r="E29" s="60">
        <f>Quarterly!$J$74+(E$28-((Quarterly!$D$12+Quarterly!$E$12)/(Quarterly!$D$8+Quarterly!$E$8)))*(Quarterly!$D$8+Quarterly!$E$8)*(1-Drivers!$D$133)-((Drivers!$D$157-$A29*(Drivers!$D$157-Drivers!$D$158)*Drivers!$E$159)*(Quarterly!$E$14-(E$28-((Quarterly!$D$12+Quarterly!$E$12)/(Quarterly!$D$8+Quarterly!$E$8)))*Quarterly!$E$8)/Drivers!$D$19-Quarterly!$E$86)</f>
        <v/>
      </c>
      <c r="F29" s="60">
        <f>Quarterly!$J$74+(F$28-((Quarterly!$D$12+Quarterly!$E$12)/(Quarterly!$D$8+Quarterly!$E$8)))*(Quarterly!$D$8+Quarterly!$E$8)*(1-Drivers!$D$133)-((Drivers!$D$157-$A29*(Drivers!$D$157-Drivers!$D$158)*Drivers!$E$159)*(Quarterly!$E$14-(F$28-((Quarterly!$D$12+Quarterly!$E$12)/(Quarterly!$D$8+Quarterly!$E$8)))*Quarterly!$E$8)/Drivers!$D$19-Quarterly!$E$86)</f>
        <v/>
      </c>
    </row>
    <row r="30">
      <c r="A30" s="90" t="n">
        <v>0.1</v>
      </c>
      <c r="B30" s="60">
        <f>Quarterly!$J$74+(B$28-((Quarterly!$D$12+Quarterly!$E$12)/(Quarterly!$D$8+Quarterly!$E$8)))*(Quarterly!$D$8+Quarterly!$E$8)*(1-Drivers!$D$133)-((Drivers!$D$157-$A30*(Drivers!$D$157-Drivers!$D$158)*Drivers!$E$159)*(Quarterly!$E$14-(B$28-((Quarterly!$D$12+Quarterly!$E$12)/(Quarterly!$D$8+Quarterly!$E$8)))*Quarterly!$E$8)/Drivers!$D$19-Quarterly!$E$86)</f>
        <v/>
      </c>
      <c r="C30" s="60">
        <f>Quarterly!$J$74+(C$28-((Quarterly!$D$12+Quarterly!$E$12)/(Quarterly!$D$8+Quarterly!$E$8)))*(Quarterly!$D$8+Quarterly!$E$8)*(1-Drivers!$D$133)-((Drivers!$D$157-$A30*(Drivers!$D$157-Drivers!$D$158)*Drivers!$E$159)*(Quarterly!$E$14-(C$28-((Quarterly!$D$12+Quarterly!$E$12)/(Quarterly!$D$8+Quarterly!$E$8)))*Quarterly!$E$8)/Drivers!$D$19-Quarterly!$E$86)</f>
        <v/>
      </c>
      <c r="D30" s="60">
        <f>Quarterly!$J$74+(D$28-((Quarterly!$D$12+Quarterly!$E$12)/(Quarterly!$D$8+Quarterly!$E$8)))*(Quarterly!$D$8+Quarterly!$E$8)*(1-Drivers!$D$133)-((Drivers!$D$157-$A30*(Drivers!$D$157-Drivers!$D$158)*Drivers!$E$159)*(Quarterly!$E$14-(D$28-((Quarterly!$D$12+Quarterly!$E$12)/(Quarterly!$D$8+Quarterly!$E$8)))*Quarterly!$E$8)/Drivers!$D$19-Quarterly!$E$86)</f>
        <v/>
      </c>
      <c r="E30" s="60">
        <f>Quarterly!$J$74+(E$28-((Quarterly!$D$12+Quarterly!$E$12)/(Quarterly!$D$8+Quarterly!$E$8)))*(Quarterly!$D$8+Quarterly!$E$8)*(1-Drivers!$D$133)-((Drivers!$D$157-$A30*(Drivers!$D$157-Drivers!$D$158)*Drivers!$E$159)*(Quarterly!$E$14-(E$28-((Quarterly!$D$12+Quarterly!$E$12)/(Quarterly!$D$8+Quarterly!$E$8)))*Quarterly!$E$8)/Drivers!$D$19-Quarterly!$E$86)</f>
        <v/>
      </c>
      <c r="F30" s="60">
        <f>Quarterly!$J$74+(F$28-((Quarterly!$D$12+Quarterly!$E$12)/(Quarterly!$D$8+Quarterly!$E$8)))*(Quarterly!$D$8+Quarterly!$E$8)*(1-Drivers!$D$133)-((Drivers!$D$157-$A30*(Drivers!$D$157-Drivers!$D$158)*Drivers!$E$159)*(Quarterly!$E$14-(F$28-((Quarterly!$D$12+Quarterly!$E$12)/(Quarterly!$D$8+Quarterly!$E$8)))*Quarterly!$E$8)/Drivers!$D$19-Quarterly!$E$86)</f>
        <v/>
      </c>
    </row>
    <row r="31">
      <c r="A31" s="90" t="n">
        <v>0.2</v>
      </c>
      <c r="B31" s="60">
        <f>Quarterly!$J$74+(B$28-((Quarterly!$D$12+Quarterly!$E$12)/(Quarterly!$D$8+Quarterly!$E$8)))*(Quarterly!$D$8+Quarterly!$E$8)*(1-Drivers!$D$133)-((Drivers!$D$157-$A31*(Drivers!$D$157-Drivers!$D$158)*Drivers!$E$159)*(Quarterly!$E$14-(B$28-((Quarterly!$D$12+Quarterly!$E$12)/(Quarterly!$D$8+Quarterly!$E$8)))*Quarterly!$E$8)/Drivers!$D$19-Quarterly!$E$86)</f>
        <v/>
      </c>
      <c r="C31" s="60">
        <f>Quarterly!$J$74+(C$28-((Quarterly!$D$12+Quarterly!$E$12)/(Quarterly!$D$8+Quarterly!$E$8)))*(Quarterly!$D$8+Quarterly!$E$8)*(1-Drivers!$D$133)-((Drivers!$D$157-$A31*(Drivers!$D$157-Drivers!$D$158)*Drivers!$E$159)*(Quarterly!$E$14-(C$28-((Quarterly!$D$12+Quarterly!$E$12)/(Quarterly!$D$8+Quarterly!$E$8)))*Quarterly!$E$8)/Drivers!$D$19-Quarterly!$E$86)</f>
        <v/>
      </c>
      <c r="D31" s="60">
        <f>Quarterly!$J$74+(D$28-((Quarterly!$D$12+Quarterly!$E$12)/(Quarterly!$D$8+Quarterly!$E$8)))*(Quarterly!$D$8+Quarterly!$E$8)*(1-Drivers!$D$133)-((Drivers!$D$157-$A31*(Drivers!$D$157-Drivers!$D$158)*Drivers!$E$159)*(Quarterly!$E$14-(D$28-((Quarterly!$D$12+Quarterly!$E$12)/(Quarterly!$D$8+Quarterly!$E$8)))*Quarterly!$E$8)/Drivers!$D$19-Quarterly!$E$86)</f>
        <v/>
      </c>
      <c r="E31" s="60">
        <f>Quarterly!$J$74+(E$28-((Quarterly!$D$12+Quarterly!$E$12)/(Quarterly!$D$8+Quarterly!$E$8)))*(Quarterly!$D$8+Quarterly!$E$8)*(1-Drivers!$D$133)-((Drivers!$D$157-$A31*(Drivers!$D$157-Drivers!$D$158)*Drivers!$E$159)*(Quarterly!$E$14-(E$28-((Quarterly!$D$12+Quarterly!$E$12)/(Quarterly!$D$8+Quarterly!$E$8)))*Quarterly!$E$8)/Drivers!$D$19-Quarterly!$E$86)</f>
        <v/>
      </c>
      <c r="F31" s="60">
        <f>Quarterly!$J$74+(F$28-((Quarterly!$D$12+Quarterly!$E$12)/(Quarterly!$D$8+Quarterly!$E$8)))*(Quarterly!$D$8+Quarterly!$E$8)*(1-Drivers!$D$133)-((Drivers!$D$157-$A31*(Drivers!$D$157-Drivers!$D$158)*Drivers!$E$159)*(Quarterly!$E$14-(F$28-((Quarterly!$D$12+Quarterly!$E$12)/(Quarterly!$D$8+Quarterly!$E$8)))*Quarterly!$E$8)/Drivers!$D$19-Quarterly!$E$86)</f>
        <v/>
      </c>
    </row>
    <row r="32">
      <c r="A32" s="90" t="n">
        <v>0.3</v>
      </c>
      <c r="B32" s="60">
        <f>Quarterly!$J$74+(B$28-((Quarterly!$D$12+Quarterly!$E$12)/(Quarterly!$D$8+Quarterly!$E$8)))*(Quarterly!$D$8+Quarterly!$E$8)*(1-Drivers!$D$133)-((Drivers!$D$157-$A32*(Drivers!$D$157-Drivers!$D$158)*Drivers!$E$159)*(Quarterly!$E$14-(B$28-((Quarterly!$D$12+Quarterly!$E$12)/(Quarterly!$D$8+Quarterly!$E$8)))*Quarterly!$E$8)/Drivers!$D$19-Quarterly!$E$86)</f>
        <v/>
      </c>
      <c r="C32" s="60">
        <f>Quarterly!$J$74+(C$28-((Quarterly!$D$12+Quarterly!$E$12)/(Quarterly!$D$8+Quarterly!$E$8)))*(Quarterly!$D$8+Quarterly!$E$8)*(1-Drivers!$D$133)-((Drivers!$D$157-$A32*(Drivers!$D$157-Drivers!$D$158)*Drivers!$E$159)*(Quarterly!$E$14-(C$28-((Quarterly!$D$12+Quarterly!$E$12)/(Quarterly!$D$8+Quarterly!$E$8)))*Quarterly!$E$8)/Drivers!$D$19-Quarterly!$E$86)</f>
        <v/>
      </c>
      <c r="D32" s="60">
        <f>Quarterly!$J$74+(D$28-((Quarterly!$D$12+Quarterly!$E$12)/(Quarterly!$D$8+Quarterly!$E$8)))*(Quarterly!$D$8+Quarterly!$E$8)*(1-Drivers!$D$133)-((Drivers!$D$157-$A32*(Drivers!$D$157-Drivers!$D$158)*Drivers!$E$159)*(Quarterly!$E$14-(D$28-((Quarterly!$D$12+Quarterly!$E$12)/(Quarterly!$D$8+Quarterly!$E$8)))*Quarterly!$E$8)/Drivers!$D$19-Quarterly!$E$86)</f>
        <v/>
      </c>
      <c r="E32" s="60">
        <f>Quarterly!$J$74+(E$28-((Quarterly!$D$12+Quarterly!$E$12)/(Quarterly!$D$8+Quarterly!$E$8)))*(Quarterly!$D$8+Quarterly!$E$8)*(1-Drivers!$D$133)-((Drivers!$D$157-$A32*(Drivers!$D$157-Drivers!$D$158)*Drivers!$E$159)*(Quarterly!$E$14-(E$28-((Quarterly!$D$12+Quarterly!$E$12)/(Quarterly!$D$8+Quarterly!$E$8)))*Quarterly!$E$8)/Drivers!$D$19-Quarterly!$E$86)</f>
        <v/>
      </c>
      <c r="F32" s="60">
        <f>Quarterly!$J$74+(F$28-((Quarterly!$D$12+Quarterly!$E$12)/(Quarterly!$D$8+Quarterly!$E$8)))*(Quarterly!$D$8+Quarterly!$E$8)*(1-Drivers!$D$133)-((Drivers!$D$157-$A32*(Drivers!$D$157-Drivers!$D$158)*Drivers!$E$159)*(Quarterly!$E$14-(F$28-((Quarterly!$D$12+Quarterly!$E$12)/(Quarterly!$D$8+Quarterly!$E$8)))*Quarterly!$E$8)/Drivers!$D$19-Quarterly!$E$86)</f>
        <v/>
      </c>
    </row>
    <row r="33">
      <c r="A33" s="90" t="n">
        <v>0.4</v>
      </c>
      <c r="B33" s="60">
        <f>Quarterly!$J$74+(B$28-((Quarterly!$D$12+Quarterly!$E$12)/(Quarterly!$D$8+Quarterly!$E$8)))*(Quarterly!$D$8+Quarterly!$E$8)*(1-Drivers!$D$133)-((Drivers!$D$157-$A33*(Drivers!$D$157-Drivers!$D$158)*Drivers!$E$159)*(Quarterly!$E$14-(B$28-((Quarterly!$D$12+Quarterly!$E$12)/(Quarterly!$D$8+Quarterly!$E$8)))*Quarterly!$E$8)/Drivers!$D$19-Quarterly!$E$86)</f>
        <v/>
      </c>
      <c r="C33" s="60">
        <f>Quarterly!$J$74+(C$28-((Quarterly!$D$12+Quarterly!$E$12)/(Quarterly!$D$8+Quarterly!$E$8)))*(Quarterly!$D$8+Quarterly!$E$8)*(1-Drivers!$D$133)-((Drivers!$D$157-$A33*(Drivers!$D$157-Drivers!$D$158)*Drivers!$E$159)*(Quarterly!$E$14-(C$28-((Quarterly!$D$12+Quarterly!$E$12)/(Quarterly!$D$8+Quarterly!$E$8)))*Quarterly!$E$8)/Drivers!$D$19-Quarterly!$E$86)</f>
        <v/>
      </c>
      <c r="D33" s="60">
        <f>Quarterly!$J$74+(D$28-((Quarterly!$D$12+Quarterly!$E$12)/(Quarterly!$D$8+Quarterly!$E$8)))*(Quarterly!$D$8+Quarterly!$E$8)*(1-Drivers!$D$133)-((Drivers!$D$157-$A33*(Drivers!$D$157-Drivers!$D$158)*Drivers!$E$159)*(Quarterly!$E$14-(D$28-((Quarterly!$D$12+Quarterly!$E$12)/(Quarterly!$D$8+Quarterly!$E$8)))*Quarterly!$E$8)/Drivers!$D$19-Quarterly!$E$86)</f>
        <v/>
      </c>
      <c r="E33" s="60">
        <f>Quarterly!$J$74+(E$28-((Quarterly!$D$12+Quarterly!$E$12)/(Quarterly!$D$8+Quarterly!$E$8)))*(Quarterly!$D$8+Quarterly!$E$8)*(1-Drivers!$D$133)-((Drivers!$D$157-$A33*(Drivers!$D$157-Drivers!$D$158)*Drivers!$E$159)*(Quarterly!$E$14-(E$28-((Quarterly!$D$12+Quarterly!$E$12)/(Quarterly!$D$8+Quarterly!$E$8)))*Quarterly!$E$8)/Drivers!$D$19-Quarterly!$E$86)</f>
        <v/>
      </c>
      <c r="F33" s="60">
        <f>Quarterly!$J$74+(F$28-((Quarterly!$D$12+Quarterly!$E$12)/(Quarterly!$D$8+Quarterly!$E$8)))*(Quarterly!$D$8+Quarterly!$E$8)*(1-Drivers!$D$133)-((Drivers!$D$157-$A33*(Drivers!$D$157-Drivers!$D$158)*Drivers!$E$159)*(Quarterly!$E$14-(F$28-((Quarterly!$D$12+Quarterly!$E$12)/(Quarterly!$D$8+Quarterly!$E$8)))*Quarterly!$E$8)/Drivers!$D$19-Quarterly!$E$86)</f>
        <v/>
      </c>
    </row>
    <row r="34">
      <c r="A34" s="90" t="n">
        <v>0.5</v>
      </c>
      <c r="B34" s="60">
        <f>Quarterly!$J$74+(B$28-((Quarterly!$D$12+Quarterly!$E$12)/(Quarterly!$D$8+Quarterly!$E$8)))*(Quarterly!$D$8+Quarterly!$E$8)*(1-Drivers!$D$133)-((Drivers!$D$157-$A34*(Drivers!$D$157-Drivers!$D$158)*Drivers!$E$159)*(Quarterly!$E$14-(B$28-((Quarterly!$D$12+Quarterly!$E$12)/(Quarterly!$D$8+Quarterly!$E$8)))*Quarterly!$E$8)/Drivers!$D$19-Quarterly!$E$86)</f>
        <v/>
      </c>
      <c r="C34" s="60">
        <f>Quarterly!$J$74+(C$28-((Quarterly!$D$12+Quarterly!$E$12)/(Quarterly!$D$8+Quarterly!$E$8)))*(Quarterly!$D$8+Quarterly!$E$8)*(1-Drivers!$D$133)-((Drivers!$D$157-$A34*(Drivers!$D$157-Drivers!$D$158)*Drivers!$E$159)*(Quarterly!$E$14-(C$28-((Quarterly!$D$12+Quarterly!$E$12)/(Quarterly!$D$8+Quarterly!$E$8)))*Quarterly!$E$8)/Drivers!$D$19-Quarterly!$E$86)</f>
        <v/>
      </c>
      <c r="D34" s="60">
        <f>Quarterly!$J$74+(D$28-((Quarterly!$D$12+Quarterly!$E$12)/(Quarterly!$D$8+Quarterly!$E$8)))*(Quarterly!$D$8+Quarterly!$E$8)*(1-Drivers!$D$133)-((Drivers!$D$157-$A34*(Drivers!$D$157-Drivers!$D$158)*Drivers!$E$159)*(Quarterly!$E$14-(D$28-((Quarterly!$D$12+Quarterly!$E$12)/(Quarterly!$D$8+Quarterly!$E$8)))*Quarterly!$E$8)/Drivers!$D$19-Quarterly!$E$86)</f>
        <v/>
      </c>
      <c r="E34" s="60">
        <f>Quarterly!$J$74+(E$28-((Quarterly!$D$12+Quarterly!$E$12)/(Quarterly!$D$8+Quarterly!$E$8)))*(Quarterly!$D$8+Quarterly!$E$8)*(1-Drivers!$D$133)-((Drivers!$D$157-$A34*(Drivers!$D$157-Drivers!$D$158)*Drivers!$E$159)*(Quarterly!$E$14-(E$28-((Quarterly!$D$12+Quarterly!$E$12)/(Quarterly!$D$8+Quarterly!$E$8)))*Quarterly!$E$8)/Drivers!$D$19-Quarterly!$E$86)</f>
        <v/>
      </c>
      <c r="F34" s="60">
        <f>Quarterly!$J$74+(F$28-((Quarterly!$D$12+Quarterly!$E$12)/(Quarterly!$D$8+Quarterly!$E$8)))*(Quarterly!$D$8+Quarterly!$E$8)*(1-Drivers!$D$133)-((Drivers!$D$157-$A34*(Drivers!$D$157-Drivers!$D$158)*Drivers!$E$159)*(Quarterly!$E$14-(F$28-((Quarterly!$D$12+Quarterly!$E$12)/(Quarterly!$D$8+Quarterly!$E$8)))*Quarterly!$E$8)/Drivers!$D$19-Quarterly!$E$86)</f>
        <v/>
      </c>
    </row>
    <row r="35">
      <c r="A35" s="91" t="inlineStr">
        <is>
          <t>Grid 3 holds all other selected-scenario drivers fixed: margin changes EBITDA after tax and cost of sales (inventory base); conversion changes Q4'26 inventory days. Exact at the selected scenario's own conversion and margin. Limitation: a higher margin also lowers the cost-of-sales proxy and so the days-based inventory balance, which amplifies the margin sensitivity.</t>
        </is>
      </c>
    </row>
  </sheetData>
  <conditionalFormatting sqref="B6:G14">
    <cfRule type="cellIs" priority="1" operator="greaterThan" dxfId="0">
      <formula>Drivers!$D$180</formula>
    </cfRule>
    <cfRule type="cellIs" priority="2" operator="lessThan" dxfId="1">
      <formula>Drivers!$D$180</formula>
    </cfRule>
  </conditionalFormatting>
  <conditionalFormatting sqref="B18:G25">
    <cfRule type="cellIs" priority="3" operator="greaterThan" dxfId="0">
      <formula>Drivers!$D$180</formula>
    </cfRule>
    <cfRule type="cellIs" priority="4" operator="lessThan" dxfId="1">
      <formula>Drivers!$D$180</formula>
    </cfRule>
  </conditionalFormatting>
  <conditionalFormatting sqref="B29:F34">
    <cfRule type="cellIs" priority="5" operator="greaterThan" dxfId="0">
      <formula>0</formula>
    </cfRule>
    <cfRule type="cellIs" priority="6" operator="lessThan" dxfId="1">
      <formula>0</formula>
    </cfRule>
  </conditionalFormatting>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10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4" customWidth="1" min="1" max="1"/>
    <col width="14" customWidth="1" min="2" max="2"/>
    <col width="18" customWidth="1" min="3" max="3"/>
    <col width="10" customWidth="1" min="4" max="4"/>
    <col width="9" customWidth="1" min="5" max="5"/>
    <col width="70" customWidth="1" min="6" max="6"/>
  </cols>
  <sheetData>
    <row r="1">
      <c r="A1" s="1" t="inlineStr">
        <is>
          <t>Checks and tie-outs (formula-driven pass/fail)</t>
        </is>
      </c>
    </row>
    <row r="2">
      <c r="A2" s="2" t="inlineStr">
        <is>
          <t>Model integrity checks for the spec's Verification section. 'By construction' means the Q4 data are derived as FY less 9M, so the check is an identity, not independent verification.</t>
        </is>
      </c>
    </row>
    <row r="4">
      <c r="A4" s="13" t="inlineStr">
        <is>
          <t>Check</t>
        </is>
      </c>
      <c r="B4" s="14" t="inlineStr">
        <is>
          <t>Model value</t>
        </is>
      </c>
      <c r="C4" s="14" t="inlineStr">
        <is>
          <t>Expected / comparator</t>
        </is>
      </c>
      <c r="D4" s="14" t="inlineStr">
        <is>
          <t>Tolerance</t>
        </is>
      </c>
      <c r="E4" s="14" t="inlineStr">
        <is>
          <t>Result</t>
        </is>
      </c>
      <c r="F4" s="14" t="inlineStr">
        <is>
          <t>Notes</t>
        </is>
      </c>
    </row>
    <row r="5">
      <c r="A5" s="10" t="inlineStr">
        <is>
          <t>1. Historical quarters sum to FY (FY2024 and FY2025; Q4 derived as FY less 9M, so by construction)</t>
        </is>
      </c>
      <c r="B5" s="11" t="n"/>
      <c r="C5" s="11" t="n"/>
      <c r="D5" s="11" t="n"/>
      <c r="E5" s="11" t="n"/>
      <c r="F5" s="11" t="n"/>
    </row>
    <row r="6">
      <c r="A6" s="5" t="inlineStr">
        <is>
          <t>Total revenues: sum of quarters vs FY2024</t>
        </is>
      </c>
      <c r="B6" s="60">
        <f>Historical!$E$12+Historical!$F$12+Historical!$G$12+Historical!$H$12</f>
        <v/>
      </c>
      <c r="C6" s="34">
        <f>Historical!$C$12</f>
        <v/>
      </c>
      <c r="D6" s="47" t="n">
        <v>0.1</v>
      </c>
      <c r="E6" s="3">
        <f>IF(ISERROR(B6-C6),"FAIL",IF(ABS(B6-C6)&lt;=D6,"PASS","FAIL"))</f>
        <v/>
      </c>
      <c r="F6" s="39" t="inlineStr">
        <is>
          <t>by construction for derived Q4</t>
        </is>
      </c>
    </row>
    <row r="7">
      <c r="A7" s="5" t="inlineStr">
        <is>
          <t>Total revenues: sum of quarters vs FY2025</t>
        </is>
      </c>
      <c r="B7" s="60">
        <f>Historical!$I$12+Historical!$J$12+Historical!$K$12+Historical!$L$12</f>
        <v/>
      </c>
      <c r="C7" s="34">
        <f>Historical!$D$12</f>
        <v/>
      </c>
      <c r="D7" s="47" t="n">
        <v>0.1</v>
      </c>
      <c r="E7" s="3">
        <f>IF(ISERROR(B7-C7),"FAIL",IF(ABS(B7-C7)&lt;=D7,"PASS","FAIL"))</f>
        <v/>
      </c>
      <c r="F7" s="39" t="inlineStr">
        <is>
          <t>by construction for derived Q4</t>
        </is>
      </c>
    </row>
    <row r="8">
      <c r="A8" s="5" t="inlineStr">
        <is>
          <t>Cost of sales: sum of quarters vs FY2024</t>
        </is>
      </c>
      <c r="B8" s="60">
        <f>Historical!$E$16+Historical!$F$16+Historical!$G$16+Historical!$H$16</f>
        <v/>
      </c>
      <c r="C8" s="34">
        <f>Historical!$C$16</f>
        <v/>
      </c>
      <c r="D8" s="47" t="n">
        <v>0.1</v>
      </c>
      <c r="E8" s="3">
        <f>IF(ISERROR(B8-C8),"FAIL",IF(ABS(B8-C8)&lt;=D8,"PASS","FAIL"))</f>
        <v/>
      </c>
      <c r="F8" s="39" t="inlineStr">
        <is>
          <t>by construction for derived Q4</t>
        </is>
      </c>
    </row>
    <row r="9">
      <c r="A9" s="5" t="inlineStr">
        <is>
          <t>Cost of sales: sum of quarters vs FY2025</t>
        </is>
      </c>
      <c r="B9" s="60">
        <f>Historical!$I$16+Historical!$J$16+Historical!$K$16+Historical!$L$16</f>
        <v/>
      </c>
      <c r="C9" s="34">
        <f>Historical!$D$16</f>
        <v/>
      </c>
      <c r="D9" s="47" t="n">
        <v>0.1</v>
      </c>
      <c r="E9" s="3">
        <f>IF(ISERROR(B9-C9),"FAIL",IF(ABS(B9-C9)&lt;=D9,"PASS","FAIL"))</f>
        <v/>
      </c>
      <c r="F9" s="39" t="inlineStr">
        <is>
          <t>by construction for derived Q4</t>
        </is>
      </c>
    </row>
    <row r="10">
      <c r="A10" s="5" t="inlineStr">
        <is>
          <t>D&amp;A: sum of quarters vs FY2024</t>
        </is>
      </c>
      <c r="B10" s="60">
        <f>Historical!$E$21+Historical!$F$21+Historical!$G$21+Historical!$H$21</f>
        <v/>
      </c>
      <c r="C10" s="34">
        <f>Historical!$C$21</f>
        <v/>
      </c>
      <c r="D10" s="47" t="n">
        <v>0.1</v>
      </c>
      <c r="E10" s="3">
        <f>IF(ISERROR(B10-C10),"FAIL",IF(ABS(B10-C10)&lt;=D10,"PASS","FAIL"))</f>
        <v/>
      </c>
      <c r="F10" s="39" t="inlineStr">
        <is>
          <t>by construction for derived Q4</t>
        </is>
      </c>
    </row>
    <row r="11">
      <c r="A11" s="5" t="inlineStr">
        <is>
          <t>D&amp;A: sum of quarters vs FY2025</t>
        </is>
      </c>
      <c r="B11" s="60">
        <f>Historical!$I$21+Historical!$J$21+Historical!$K$21+Historical!$L$21</f>
        <v/>
      </c>
      <c r="C11" s="34">
        <f>Historical!$D$21</f>
        <v/>
      </c>
      <c r="D11" s="47" t="n">
        <v>0.1</v>
      </c>
      <c r="E11" s="3">
        <f>IF(ISERROR(B11-C11),"FAIL",IF(ABS(B11-C11)&lt;=D11,"PASS","FAIL"))</f>
        <v/>
      </c>
      <c r="F11" s="39" t="inlineStr">
        <is>
          <t>by construction for derived Q4</t>
        </is>
      </c>
    </row>
    <row r="12">
      <c r="A12" s="5" t="inlineStr">
        <is>
          <t>Interest expense: sum of quarters vs FY2024</t>
        </is>
      </c>
      <c r="B12" s="60">
        <f>Historical!$E$22+Historical!$F$22+Historical!$G$22+Historical!$H$22</f>
        <v/>
      </c>
      <c r="C12" s="34">
        <f>Historical!$C$22</f>
        <v/>
      </c>
      <c r="D12" s="47" t="n">
        <v>0.1</v>
      </c>
      <c r="E12" s="3">
        <f>IF(ISERROR(B12-C12),"FAIL",IF(ABS(B12-C12)&lt;=D12,"PASS","FAIL"))</f>
        <v/>
      </c>
      <c r="F12" s="39" t="inlineStr">
        <is>
          <t>by construction for derived Q4</t>
        </is>
      </c>
    </row>
    <row r="13">
      <c r="A13" s="5" t="inlineStr">
        <is>
          <t>Interest expense: sum of quarters vs FY2025</t>
        </is>
      </c>
      <c r="B13" s="60">
        <f>Historical!$I$22+Historical!$J$22+Historical!$K$22+Historical!$L$22</f>
        <v/>
      </c>
      <c r="C13" s="34">
        <f>Historical!$D$22</f>
        <v/>
      </c>
      <c r="D13" s="47" t="n">
        <v>0.1</v>
      </c>
      <c r="E13" s="3">
        <f>IF(ISERROR(B13-C13),"FAIL",IF(ABS(B13-C13)&lt;=D13,"PASS","FAIL"))</f>
        <v/>
      </c>
      <c r="F13" s="39" t="inlineStr">
        <is>
          <t>by construction for derived Q4</t>
        </is>
      </c>
    </row>
    <row r="14">
      <c r="A14" s="5" t="inlineStr">
        <is>
          <t>Aerospace Adj. EBITDA: sum of quarters vs FY2024</t>
        </is>
      </c>
      <c r="B14" s="60">
        <f>Historical!$E$33+Historical!$F$33+Historical!$G$33+Historical!$H$33</f>
        <v/>
      </c>
      <c r="C14" s="34">
        <f>Historical!$C$33</f>
        <v/>
      </c>
      <c r="D14" s="47" t="n">
        <v>0.1</v>
      </c>
      <c r="E14" s="3">
        <f>IF(ISERROR(B14-C14),"FAIL",IF(ABS(B14-C14)&lt;=D14,"PASS","FAIL"))</f>
        <v/>
      </c>
      <c r="F14" s="39" t="inlineStr">
        <is>
          <t>by construction for derived Q4</t>
        </is>
      </c>
    </row>
    <row r="15">
      <c r="A15" s="5" t="inlineStr">
        <is>
          <t>Aerospace Adj. EBITDA: sum of quarters vs FY2025</t>
        </is>
      </c>
      <c r="B15" s="60">
        <f>Historical!$I$33+Historical!$J$33+Historical!$K$33+Historical!$L$33</f>
        <v/>
      </c>
      <c r="C15" s="34">
        <f>Historical!$D$33</f>
        <v/>
      </c>
      <c r="D15" s="47" t="n">
        <v>0.1</v>
      </c>
      <c r="E15" s="3">
        <f>IF(ISERROR(B15-C15),"FAIL",IF(ABS(B15-C15)&lt;=D15,"PASS","FAIL"))</f>
        <v/>
      </c>
      <c r="F15" s="39" t="inlineStr">
        <is>
          <t>by construction for derived Q4</t>
        </is>
      </c>
    </row>
    <row r="16">
      <c r="A16" s="5" t="inlineStr">
        <is>
          <t>Leasing Adj. EBITDA: sum of quarters vs FY2024</t>
        </is>
      </c>
      <c r="B16" s="60">
        <f>Historical!$E$34+Historical!$F$34+Historical!$G$34+Historical!$H$34</f>
        <v/>
      </c>
      <c r="C16" s="34">
        <f>Historical!$C$34</f>
        <v/>
      </c>
      <c r="D16" s="47" t="n">
        <v>0.1</v>
      </c>
      <c r="E16" s="3">
        <f>IF(ISERROR(B16-C16),"FAIL",IF(ABS(B16-C16)&lt;=D16,"PASS","FAIL"))</f>
        <v/>
      </c>
      <c r="F16" s="39" t="inlineStr">
        <is>
          <t>by construction for derived Q4</t>
        </is>
      </c>
    </row>
    <row r="17">
      <c r="A17" s="5" t="inlineStr">
        <is>
          <t>Leasing Adj. EBITDA: sum of quarters vs FY2025</t>
        </is>
      </c>
      <c r="B17" s="60">
        <f>Historical!$I$34+Historical!$J$34+Historical!$K$34+Historical!$L$34</f>
        <v/>
      </c>
      <c r="C17" s="34">
        <f>Historical!$D$34</f>
        <v/>
      </c>
      <c r="D17" s="47" t="n">
        <v>0.1</v>
      </c>
      <c r="E17" s="3">
        <f>IF(ISERROR(B17-C17),"FAIL",IF(ABS(B17-C17)&lt;=D17,"PASS","FAIL"))</f>
        <v/>
      </c>
      <c r="F17" s="39" t="inlineStr">
        <is>
          <t>by construction for derived Q4</t>
        </is>
      </c>
    </row>
    <row r="18">
      <c r="A18" s="5" t="inlineStr">
        <is>
          <t>Corporate EBITDA: sum of quarters vs FY2024</t>
        </is>
      </c>
      <c r="B18" s="60">
        <f>Historical!$E$35+Historical!$F$35+Historical!$G$35+Historical!$H$35</f>
        <v/>
      </c>
      <c r="C18" s="34">
        <f>Historical!$C$35</f>
        <v/>
      </c>
      <c r="D18" s="47" t="n">
        <v>0.1</v>
      </c>
      <c r="E18" s="3">
        <f>IF(ISERROR(B18-C18),"FAIL",IF(ABS(B18-C18)&lt;=D18,"PASS","FAIL"))</f>
        <v/>
      </c>
      <c r="F18" s="39" t="inlineStr">
        <is>
          <t>by construction for derived Q4</t>
        </is>
      </c>
    </row>
    <row r="19">
      <c r="A19" s="5" t="inlineStr">
        <is>
          <t>Corporate EBITDA: sum of quarters vs FY2025</t>
        </is>
      </c>
      <c r="B19" s="60">
        <f>Historical!$I$35+Historical!$J$35+Historical!$K$35+Historical!$L$35</f>
        <v/>
      </c>
      <c r="C19" s="34">
        <f>Historical!$D$35</f>
        <v/>
      </c>
      <c r="D19" s="47" t="n">
        <v>0.1</v>
      </c>
      <c r="E19" s="3">
        <f>IF(ISERROR(B19-C19),"FAIL",IF(ABS(B19-C19)&lt;=D19,"PASS","FAIL"))</f>
        <v/>
      </c>
      <c r="F19" s="39" t="inlineStr">
        <is>
          <t>by construction for derived Q4</t>
        </is>
      </c>
    </row>
    <row r="20">
      <c r="A20" s="5" t="inlineStr">
        <is>
          <t>Eliminations: sum of quarters vs FY2024</t>
        </is>
      </c>
      <c r="B20" s="60">
        <f>Historical!$E$36+Historical!$F$36+Historical!$G$36+Historical!$H$36</f>
        <v/>
      </c>
      <c r="C20" s="34">
        <f>Historical!$C$36</f>
        <v/>
      </c>
      <c r="D20" s="47" t="n">
        <v>0.1</v>
      </c>
      <c r="E20" s="3">
        <f>IF(ISERROR(B20-C20),"FAIL",IF(ABS(B20-C20)&lt;=D20,"PASS","FAIL"))</f>
        <v/>
      </c>
      <c r="F20" s="39" t="inlineStr">
        <is>
          <t>by construction for derived Q4</t>
        </is>
      </c>
    </row>
    <row r="21">
      <c r="A21" s="5" t="inlineStr">
        <is>
          <t>Eliminations: sum of quarters vs FY2025</t>
        </is>
      </c>
      <c r="B21" s="60">
        <f>Historical!$I$36+Historical!$J$36+Historical!$K$36+Historical!$L$36</f>
        <v/>
      </c>
      <c r="C21" s="34">
        <f>Historical!$D$36</f>
        <v/>
      </c>
      <c r="D21" s="47" t="n">
        <v>0.1</v>
      </c>
      <c r="E21" s="3">
        <f>IF(ISERROR(B21-C21),"FAIL",IF(ABS(B21-C21)&lt;=D21,"PASS","FAIL"))</f>
        <v/>
      </c>
      <c r="F21" s="39" t="inlineStr">
        <is>
          <t>by construction for derived Q4</t>
        </is>
      </c>
    </row>
    <row r="22">
      <c r="A22" s="5" t="inlineStr">
        <is>
          <t>Total Adj. EBITDA: sum of quarters vs FY2024</t>
        </is>
      </c>
      <c r="B22" s="60">
        <f>Historical!$E$37+Historical!$F$37+Historical!$G$37+Historical!$H$37</f>
        <v/>
      </c>
      <c r="C22" s="34">
        <f>Historical!$C$37</f>
        <v/>
      </c>
      <c r="D22" s="47" t="n">
        <v>0.1</v>
      </c>
      <c r="E22" s="3">
        <f>IF(ISERROR(B22-C22),"FAIL",IF(ABS(B22-C22)&lt;=D22,"PASS","FAIL"))</f>
        <v/>
      </c>
      <c r="F22" s="39" t="inlineStr">
        <is>
          <t>by construction for derived Q4</t>
        </is>
      </c>
    </row>
    <row r="23">
      <c r="A23" s="5" t="inlineStr">
        <is>
          <t>Total Adj. EBITDA: sum of quarters vs FY2025</t>
        </is>
      </c>
      <c r="B23" s="60">
        <f>Historical!$I$37+Historical!$J$37+Historical!$K$37+Historical!$L$37</f>
        <v/>
      </c>
      <c r="C23" s="34">
        <f>Historical!$D$37</f>
        <v/>
      </c>
      <c r="D23" s="47" t="n">
        <v>0.1</v>
      </c>
      <c r="E23" s="3">
        <f>IF(ISERROR(B23-C23),"FAIL",IF(ABS(B23-C23)&lt;=D23,"PASS","FAIL"))</f>
        <v/>
      </c>
      <c r="F23" s="39" t="inlineStr">
        <is>
          <t>by construction for derived Q4</t>
        </is>
      </c>
    </row>
    <row r="24">
      <c r="A24" s="5" t="inlineStr">
        <is>
          <t>CFO: sum of quarters vs FY2024</t>
        </is>
      </c>
      <c r="B24" s="60">
        <f>Historical!$E$48+Historical!$F$48+Historical!$G$48+Historical!$H$48</f>
        <v/>
      </c>
      <c r="C24" s="34">
        <f>Historical!$C$48</f>
        <v/>
      </c>
      <c r="D24" s="47" t="n">
        <v>0.1</v>
      </c>
      <c r="E24" s="3">
        <f>IF(ISERROR(B24-C24),"FAIL",IF(ABS(B24-C24)&lt;=D24,"PASS","FAIL"))</f>
        <v/>
      </c>
      <c r="F24" s="39" t="inlineStr">
        <is>
          <t>CFO/CFI quarters derived from YTD</t>
        </is>
      </c>
    </row>
    <row r="25">
      <c r="A25" s="5" t="inlineStr">
        <is>
          <t>CFO: sum of quarters vs FY2025</t>
        </is>
      </c>
      <c r="B25" s="60">
        <f>Historical!$I$48+Historical!$J$48+Historical!$K$48+Historical!$L$48</f>
        <v/>
      </c>
      <c r="C25" s="34">
        <f>Historical!$D$48</f>
        <v/>
      </c>
      <c r="D25" s="47" t="n">
        <v>0.1</v>
      </c>
      <c r="E25" s="3">
        <f>IF(ISERROR(B25-C25),"FAIL",IF(ABS(B25-C25)&lt;=D25,"PASS","FAIL"))</f>
        <v/>
      </c>
      <c r="F25" s="39" t="inlineStr">
        <is>
          <t>CFO/CFI quarters derived from YTD</t>
        </is>
      </c>
    </row>
    <row r="26">
      <c r="A26" s="5" t="inlineStr">
        <is>
          <t>CFI: sum of quarters vs FY2024</t>
        </is>
      </c>
      <c r="B26" s="60">
        <f>Historical!$E$49+Historical!$F$49+Historical!$G$49+Historical!$H$49</f>
        <v/>
      </c>
      <c r="C26" s="34">
        <f>Historical!$C$49</f>
        <v/>
      </c>
      <c r="D26" s="47" t="n">
        <v>0.1</v>
      </c>
      <c r="E26" s="3">
        <f>IF(ISERROR(B26-C26),"FAIL",IF(ABS(B26-C26)&lt;=D26,"PASS","FAIL"))</f>
        <v/>
      </c>
      <c r="F26" s="39" t="inlineStr">
        <is>
          <t>CFO/CFI quarters derived from YTD</t>
        </is>
      </c>
    </row>
    <row r="27">
      <c r="A27" s="5" t="inlineStr">
        <is>
          <t>CFI: sum of quarters vs FY2025</t>
        </is>
      </c>
      <c r="B27" s="60">
        <f>Historical!$I$49+Historical!$J$49+Historical!$K$49+Historical!$L$49</f>
        <v/>
      </c>
      <c r="C27" s="34">
        <f>Historical!$D$49</f>
        <v/>
      </c>
      <c r="D27" s="47" t="n">
        <v>0.1</v>
      </c>
      <c r="E27" s="3">
        <f>IF(ISERROR(B27-C27),"FAIL",IF(ABS(B27-C27)&lt;=D27,"PASS","FAIL"))</f>
        <v/>
      </c>
      <c r="F27" s="39" t="inlineStr">
        <is>
          <t>CFO/CFI quarters derived from YTD</t>
        </is>
      </c>
    </row>
    <row r="28">
      <c r="A28" s="5" t="inlineStr">
        <is>
          <t>Net income attributable: sum of quarters vs FY2024</t>
        </is>
      </c>
      <c r="B28" s="60">
        <f>Historical!$E$28+Historical!$F$28+Historical!$G$28+Historical!$H$28</f>
        <v/>
      </c>
      <c r="C28" s="34">
        <f>Historical!$C$28</f>
        <v/>
      </c>
      <c r="D28" s="47" t="n">
        <v>0.1</v>
      </c>
      <c r="E28" s="3">
        <f>IF(ISERROR(B28-C28),"FAIL",IF(ABS(B28-C28)&lt;=D28,"PASS","FAIL"))</f>
        <v/>
      </c>
      <c r="F28" s="39" t="inlineStr">
        <is>
          <t>by construction for derived Q4</t>
        </is>
      </c>
    </row>
    <row r="29">
      <c r="A29" s="5" t="inlineStr">
        <is>
          <t>Net income attributable: sum of quarters vs FY2025</t>
        </is>
      </c>
      <c r="B29" s="60">
        <f>Historical!$I$28+Historical!$J$28+Historical!$K$28+Historical!$L$28</f>
        <v/>
      </c>
      <c r="C29" s="34">
        <f>Historical!$D$28</f>
        <v/>
      </c>
      <c r="D29" s="47" t="n">
        <v>0.1</v>
      </c>
      <c r="E29" s="3">
        <f>IF(ISERROR(B29-C29),"FAIL",IF(ABS(B29-C29)&lt;=D29,"PASS","FAIL"))</f>
        <v/>
      </c>
      <c r="F29" s="39" t="inlineStr">
        <is>
          <t>by construction for derived Q4</t>
        </is>
      </c>
    </row>
    <row r="30">
      <c r="A30" s="10" t="inlineStr">
        <is>
          <t>2. Quarterly sums to Annual (FY2026E, FY2027E)</t>
        </is>
      </c>
      <c r="B30" s="11" t="n"/>
      <c r="C30" s="11" t="n"/>
      <c r="D30" s="11" t="n"/>
      <c r="E30" s="11" t="n"/>
      <c r="F30" s="11" t="n"/>
    </row>
    <row r="31">
      <c r="A31" s="5" t="inlineStr">
        <is>
          <t>Aerospace EBITDA: Quarterly Q1'26-Q4'26 vs Annual FY26</t>
        </is>
      </c>
      <c r="B31" s="60">
        <f>SUM(Quarterly!B12:E12)</f>
        <v/>
      </c>
      <c r="C31" s="34">
        <f>Annual!E12</f>
        <v/>
      </c>
      <c r="D31" s="47" t="n">
        <v>0.001</v>
      </c>
      <c r="E31" s="3">
        <f>IF(ISERROR(B31-C31),"FAIL",IF(ABS(B31-C31)&lt;=D31,"PASS","FAIL"))</f>
        <v/>
      </c>
      <c r="F31" s="39" t="inlineStr"/>
    </row>
    <row r="32">
      <c r="A32" s="5" t="inlineStr">
        <is>
          <t>Aerospace EBITDA: Quarterly Q1'27-Q4'27 vs Annual FY27</t>
        </is>
      </c>
      <c r="B32" s="60">
        <f>SUM(Quarterly!F12:I12)</f>
        <v/>
      </c>
      <c r="C32" s="34">
        <f>Annual!F12</f>
        <v/>
      </c>
      <c r="D32" s="47" t="n">
        <v>0.001</v>
      </c>
      <c r="E32" s="3">
        <f>IF(ISERROR(B32-C32),"FAIL",IF(ABS(B32-C32)&lt;=D32,"PASS","FAIL"))</f>
        <v/>
      </c>
      <c r="F32" s="39" t="inlineStr"/>
    </row>
    <row r="33">
      <c r="A33" s="5" t="inlineStr">
        <is>
          <t>Power EBITDA: Quarterly Q1'26-Q4'26 vs Annual FY26</t>
        </is>
      </c>
      <c r="B33" s="60">
        <f>SUM(Quarterly!B18:E18)</f>
        <v/>
      </c>
      <c r="C33" s="34">
        <f>Annual!E18</f>
        <v/>
      </c>
      <c r="D33" s="47" t="n">
        <v>0.001</v>
      </c>
      <c r="E33" s="3">
        <f>IF(ISERROR(B33-C33),"FAIL",IF(ABS(B33-C33)&lt;=D33,"PASS","FAIL"))</f>
        <v/>
      </c>
      <c r="F33" s="39" t="inlineStr"/>
    </row>
    <row r="34">
      <c r="A34" s="5" t="inlineStr">
        <is>
          <t>Power EBITDA: Quarterly Q1'27-Q4'27 vs Annual FY27</t>
        </is>
      </c>
      <c r="B34" s="60">
        <f>SUM(Quarterly!F18:I18)</f>
        <v/>
      </c>
      <c r="C34" s="34">
        <f>Annual!F18</f>
        <v/>
      </c>
      <c r="D34" s="47" t="n">
        <v>0.001</v>
      </c>
      <c r="E34" s="3">
        <f>IF(ISERROR(B34-C34),"FAIL",IF(ABS(B34-C34)&lt;=D34,"PASS","FAIL"))</f>
        <v/>
      </c>
      <c r="F34" s="39" t="inlineStr"/>
    </row>
    <row r="35">
      <c r="A35" s="5" t="inlineStr">
        <is>
          <t>Leasing EBITDA: Quarterly Q1'26-Q4'26 vs Annual FY26</t>
        </is>
      </c>
      <c r="B35" s="60">
        <f>SUM(Quarterly!B32:E32)</f>
        <v/>
      </c>
      <c r="C35" s="34">
        <f>Annual!E32</f>
        <v/>
      </c>
      <c r="D35" s="47" t="n">
        <v>0.001</v>
      </c>
      <c r="E35" s="3">
        <f>IF(ISERROR(B35-C35),"FAIL",IF(ABS(B35-C35)&lt;=D35,"PASS","FAIL"))</f>
        <v/>
      </c>
      <c r="F35" s="39" t="inlineStr"/>
    </row>
    <row r="36">
      <c r="A36" s="5" t="inlineStr">
        <is>
          <t>Leasing EBITDA: Quarterly Q1'27-Q4'27 vs Annual FY27</t>
        </is>
      </c>
      <c r="B36" s="60">
        <f>SUM(Quarterly!F32:I32)</f>
        <v/>
      </c>
      <c r="C36" s="34">
        <f>Annual!F32</f>
        <v/>
      </c>
      <c r="D36" s="47" t="n">
        <v>0.001</v>
      </c>
      <c r="E36" s="3">
        <f>IF(ISERROR(B36-C36),"FAIL",IF(ABS(B36-C36)&lt;=D36,"PASS","FAIL"))</f>
        <v/>
      </c>
      <c r="F36" s="39" t="inlineStr"/>
    </row>
    <row r="37">
      <c r="A37" s="5" t="inlineStr">
        <is>
          <t>Segment-basis EBITDA: Quarterly Q1'26-Q4'26 vs Annual FY26</t>
        </is>
      </c>
      <c r="B37" s="60">
        <f>SUM(Quarterly!B38:E38)</f>
        <v/>
      </c>
      <c r="C37" s="34">
        <f>Annual!E38</f>
        <v/>
      </c>
      <c r="D37" s="47" t="n">
        <v>0.001</v>
      </c>
      <c r="E37" s="3">
        <f>IF(ISERROR(B37-C37),"FAIL",IF(ABS(B37-C37)&lt;=D37,"PASS","FAIL"))</f>
        <v/>
      </c>
      <c r="F37" s="39" t="inlineStr"/>
    </row>
    <row r="38">
      <c r="A38" s="5" t="inlineStr">
        <is>
          <t>Segment-basis EBITDA: Quarterly Q1'27-Q4'27 vs Annual FY27</t>
        </is>
      </c>
      <c r="B38" s="60">
        <f>SUM(Quarterly!F38:I38)</f>
        <v/>
      </c>
      <c r="C38" s="34">
        <f>Annual!F38</f>
        <v/>
      </c>
      <c r="D38" s="47" t="n">
        <v>0.001</v>
      </c>
      <c r="E38" s="3">
        <f>IF(ISERROR(B38-C38),"FAIL",IF(ABS(B38-C38)&lt;=D38,"PASS","FAIL"))</f>
        <v/>
      </c>
      <c r="F38" s="39" t="inlineStr"/>
    </row>
    <row r="39">
      <c r="A39" s="5" t="inlineStr">
        <is>
          <t>Total Adj. EBITDA: Quarterly Q1'26-Q4'26 vs Annual FY26</t>
        </is>
      </c>
      <c r="B39" s="60">
        <f>SUM(Quarterly!B37:E37)</f>
        <v/>
      </c>
      <c r="C39" s="34">
        <f>Annual!E37</f>
        <v/>
      </c>
      <c r="D39" s="47" t="n">
        <v>0.001</v>
      </c>
      <c r="E39" s="3">
        <f>IF(ISERROR(B39-C39),"FAIL",IF(ABS(B39-C39)&lt;=D39,"PASS","FAIL"))</f>
        <v/>
      </c>
      <c r="F39" s="39" t="inlineStr"/>
    </row>
    <row r="40">
      <c r="A40" s="5" t="inlineStr">
        <is>
          <t>Total Adj. EBITDA: Quarterly Q1'27-Q4'27 vs Annual FY27</t>
        </is>
      </c>
      <c r="B40" s="60">
        <f>SUM(Quarterly!F37:I37)</f>
        <v/>
      </c>
      <c r="C40" s="34">
        <f>Annual!F37</f>
        <v/>
      </c>
      <c r="D40" s="47" t="n">
        <v>0.001</v>
      </c>
      <c r="E40" s="3">
        <f>IF(ISERROR(B40-C40),"FAIL",IF(ABS(B40-C40)&lt;=D40,"PASS","FAIL"))</f>
        <v/>
      </c>
      <c r="F40" s="39" t="inlineStr"/>
    </row>
    <row r="41">
      <c r="A41" s="5" t="inlineStr">
        <is>
          <t>Net income to common: Quarterly Q1'26-Q4'26 vs Annual FY26</t>
        </is>
      </c>
      <c r="B41" s="60">
        <f>SUM(Quarterly!B52:E52)</f>
        <v/>
      </c>
      <c r="C41" s="34">
        <f>Annual!E52</f>
        <v/>
      </c>
      <c r="D41" s="47" t="n">
        <v>0.001</v>
      </c>
      <c r="E41" s="3">
        <f>IF(ISERROR(B41-C41),"FAIL",IF(ABS(B41-C41)&lt;=D41,"PASS","FAIL"))</f>
        <v/>
      </c>
      <c r="F41" s="39" t="inlineStr"/>
    </row>
    <row r="42">
      <c r="A42" s="5" t="inlineStr">
        <is>
          <t>Net income to common: Quarterly Q1'27-Q4'27 vs Annual FY27</t>
        </is>
      </c>
      <c r="B42" s="60">
        <f>SUM(Quarterly!F52:I52)</f>
        <v/>
      </c>
      <c r="C42" s="34">
        <f>Annual!F52</f>
        <v/>
      </c>
      <c r="D42" s="47" t="n">
        <v>0.001</v>
      </c>
      <c r="E42" s="3">
        <f>IF(ISERROR(B42-C42),"FAIL",IF(ABS(B42-C42)&lt;=D42,"PASS","FAIL"))</f>
        <v/>
      </c>
      <c r="F42" s="39" t="inlineStr"/>
    </row>
    <row r="43">
      <c r="A43" s="5" t="inlineStr">
        <is>
          <t>CFO + CFI: Quarterly Q1'26-Q4'26 vs Annual FY26</t>
        </is>
      </c>
      <c r="B43" s="60">
        <f>SUM(Quarterly!B71:E71)</f>
        <v/>
      </c>
      <c r="C43" s="34">
        <f>Annual!E71</f>
        <v/>
      </c>
      <c r="D43" s="47" t="n">
        <v>0.001</v>
      </c>
      <c r="E43" s="3">
        <f>IF(ISERROR(B43-C43),"FAIL",IF(ABS(B43-C43)&lt;=D43,"PASS","FAIL"))</f>
        <v/>
      </c>
      <c r="F43" s="39" t="inlineStr"/>
    </row>
    <row r="44">
      <c r="A44" s="5" t="inlineStr">
        <is>
          <t>CFO + CFI: Quarterly Q1'27-Q4'27 vs Annual FY27</t>
        </is>
      </c>
      <c r="B44" s="60">
        <f>SUM(Quarterly!F71:I71)</f>
        <v/>
      </c>
      <c r="C44" s="34">
        <f>Annual!F71</f>
        <v/>
      </c>
      <c r="D44" s="47" t="n">
        <v>0.001</v>
      </c>
      <c r="E44" s="3">
        <f>IF(ISERROR(B44-C44),"FAIL",IF(ABS(B44-C44)&lt;=D44,"PASS","FAIL"))</f>
        <v/>
      </c>
      <c r="F44" s="39" t="inlineStr"/>
    </row>
    <row r="45">
      <c r="A45" s="5" t="inlineStr">
        <is>
          <t>Clean CFO + CFI: Quarterly Q1'26-Q4'26 vs Annual FY26</t>
        </is>
      </c>
      <c r="B45" s="60">
        <f>SUM(Quarterly!B74:E74)</f>
        <v/>
      </c>
      <c r="C45" s="34">
        <f>Annual!E74</f>
        <v/>
      </c>
      <c r="D45" s="47" t="n">
        <v>0.001</v>
      </c>
      <c r="E45" s="3">
        <f>IF(ISERROR(B45-C45),"FAIL",IF(ABS(B45-C45)&lt;=D45,"PASS","FAIL"))</f>
        <v/>
      </c>
      <c r="F45" s="39" t="inlineStr"/>
    </row>
    <row r="46">
      <c r="A46" s="5" t="inlineStr">
        <is>
          <t>Clean CFO + CFI: Quarterly Q1'27-Q4'27 vs Annual FY27</t>
        </is>
      </c>
      <c r="B46" s="60">
        <f>SUM(Quarterly!F74:I74)</f>
        <v/>
      </c>
      <c r="C46" s="34">
        <f>Annual!F74</f>
        <v/>
      </c>
      <c r="D46" s="47" t="n">
        <v>0.001</v>
      </c>
      <c r="E46" s="3">
        <f>IF(ISERROR(B46-C46),"FAIL",IF(ABS(B46-C46)&lt;=D46,"PASS","FAIL"))</f>
        <v/>
      </c>
      <c r="F46" s="39" t="inlineStr"/>
    </row>
    <row r="47">
      <c r="A47" s="5" t="inlineStr">
        <is>
          <t>Adjusted FCF: Quarterly Q1'26-Q4'26 vs Annual FY26</t>
        </is>
      </c>
      <c r="B47" s="60">
        <f>SUM(Quarterly!B75:E75)</f>
        <v/>
      </c>
      <c r="C47" s="34">
        <f>Annual!E75</f>
        <v/>
      </c>
      <c r="D47" s="47" t="n">
        <v>0.001</v>
      </c>
      <c r="E47" s="3">
        <f>IF(ISERROR(B47-C47),"FAIL",IF(ABS(B47-C47)&lt;=D47,"PASS","FAIL"))</f>
        <v/>
      </c>
      <c r="F47" s="39" t="inlineStr"/>
    </row>
    <row r="48">
      <c r="A48" s="5" t="inlineStr">
        <is>
          <t>Adjusted FCF: Quarterly Q1'27-Q4'27 vs Annual FY27</t>
        </is>
      </c>
      <c r="B48" s="60">
        <f>SUM(Quarterly!F75:I75)</f>
        <v/>
      </c>
      <c r="C48" s="34">
        <f>Annual!F75</f>
        <v/>
      </c>
      <c r="D48" s="47" t="n">
        <v>0.001</v>
      </c>
      <c r="E48" s="3">
        <f>IF(ISERROR(B48-C48),"FAIL",IF(ABS(B48-C48)&lt;=D48,"PASS","FAIL"))</f>
        <v/>
      </c>
      <c r="F48" s="39" t="inlineStr"/>
    </row>
    <row r="49">
      <c r="A49" s="5" t="inlineStr">
        <is>
          <t>D&amp;A: Quarterly Q1'26-Q4'26 vs Annual FY26</t>
        </is>
      </c>
      <c r="B49" s="60">
        <f>SUM(Quarterly!B43:E43)</f>
        <v/>
      </c>
      <c r="C49" s="34">
        <f>Annual!E43</f>
        <v/>
      </c>
      <c r="D49" s="47" t="n">
        <v>0.001</v>
      </c>
      <c r="E49" s="3">
        <f>IF(ISERROR(B49-C49),"FAIL",IF(ABS(B49-C49)&lt;=D49,"PASS","FAIL"))</f>
        <v/>
      </c>
      <c r="F49" s="39" t="inlineStr"/>
    </row>
    <row r="50">
      <c r="A50" s="5" t="inlineStr">
        <is>
          <t>D&amp;A: Quarterly Q1'27-Q4'27 vs Annual FY27</t>
        </is>
      </c>
      <c r="B50" s="60">
        <f>SUM(Quarterly!F43:I43)</f>
        <v/>
      </c>
      <c r="C50" s="34">
        <f>Annual!F43</f>
        <v/>
      </c>
      <c r="D50" s="47" t="n">
        <v>0.001</v>
      </c>
      <c r="E50" s="3">
        <f>IF(ISERROR(B50-C50),"FAIL",IF(ABS(B50-C50)&lt;=D50,"PASS","FAIL"))</f>
        <v/>
      </c>
      <c r="F50" s="39" t="inlineStr"/>
    </row>
    <row r="51">
      <c r="A51" s="5" t="inlineStr">
        <is>
          <t>Interest: Quarterly Q1'26-Q4'26 vs Annual FY26</t>
        </is>
      </c>
      <c r="B51" s="60">
        <f>SUM(Quarterly!B46:E46)</f>
        <v/>
      </c>
      <c r="C51" s="34">
        <f>Annual!E46</f>
        <v/>
      </c>
      <c r="D51" s="47" t="n">
        <v>0.001</v>
      </c>
      <c r="E51" s="3">
        <f>IF(ISERROR(B51-C51),"FAIL",IF(ABS(B51-C51)&lt;=D51,"PASS","FAIL"))</f>
        <v/>
      </c>
      <c r="F51" s="39" t="inlineStr"/>
    </row>
    <row r="52">
      <c r="A52" s="5" t="inlineStr">
        <is>
          <t>Interest: Quarterly Q1'27-Q4'27 vs Annual FY27</t>
        </is>
      </c>
      <c r="B52" s="60">
        <f>SUM(Quarterly!F46:I46)</f>
        <v/>
      </c>
      <c r="C52" s="34">
        <f>Annual!F46</f>
        <v/>
      </c>
      <c r="D52" s="47" t="n">
        <v>0.001</v>
      </c>
      <c r="E52" s="3">
        <f>IF(ISERROR(B52-C52),"FAIL",IF(ABS(B52-C52)&lt;=D52,"PASS","FAIL"))</f>
        <v/>
      </c>
      <c r="F52" s="39" t="inlineStr"/>
    </row>
    <row r="53">
      <c r="A53" s="10" t="inlineStr">
        <is>
          <t>3. Scenario engine ties to guidance and to A_2027_guide_segment_build.csv</t>
        </is>
      </c>
      <c r="B53" s="11" t="n"/>
      <c r="C53" s="11" t="n"/>
      <c r="D53" s="11" t="n"/>
      <c r="E53" s="11" t="n"/>
      <c r="F53" s="11" t="n"/>
    </row>
    <row r="54">
      <c r="A54" s="5" t="inlineStr">
        <is>
          <t>Mgmt Guide FY2027E segment EBITDA = $2,300M</t>
        </is>
      </c>
      <c r="B54" s="34">
        <f>Drivers!$G$266</f>
        <v/>
      </c>
      <c r="C54" s="40" t="n">
        <v>2300</v>
      </c>
      <c r="D54" s="47" t="n">
        <v>1</v>
      </c>
      <c r="E54" s="3">
        <f>IF(ISERROR(B54-C54),"FAIL",IF(ABS(B54-C54)&lt;=D54,"PASS","FAIL"))</f>
        <v/>
      </c>
      <c r="F54" s="39" t="inlineStr"/>
    </row>
    <row r="55">
      <c r="A55" s="5" t="inlineStr">
        <is>
          <t>Mgmt Guide FY2027E Aerospace = $1,400M</t>
        </is>
      </c>
      <c r="B55" s="34">
        <f>Drivers!$G$263</f>
        <v/>
      </c>
      <c r="C55" s="40" t="n">
        <v>1400</v>
      </c>
      <c r="D55" s="47" t="n">
        <v>1</v>
      </c>
      <c r="E55" s="3">
        <f>IF(ISERROR(B55-C55),"FAIL",IF(ABS(B55-C55)&lt;=D55,"PASS","FAIL"))</f>
        <v/>
      </c>
      <c r="F55" s="39" t="inlineStr"/>
    </row>
    <row r="56">
      <c r="A56" s="5" t="inlineStr">
        <is>
          <t>Mgmt Guide FY2027E Power = $450M</t>
        </is>
      </c>
      <c r="B56" s="34">
        <f>Drivers!$G$264</f>
        <v/>
      </c>
      <c r="C56" s="40" t="n">
        <v>450</v>
      </c>
      <c r="D56" s="47" t="n">
        <v>1</v>
      </c>
      <c r="E56" s="3">
        <f>IF(ISERROR(B56-C56),"FAIL",IF(ABS(B56-C56)&lt;=D56,"PASS","FAIL"))</f>
        <v/>
      </c>
      <c r="F56" s="39" t="inlineStr"/>
    </row>
    <row r="57">
      <c r="A57" s="5" t="inlineStr">
        <is>
          <t>Mgmt Guide FY2027E Leasing = $450M</t>
        </is>
      </c>
      <c r="B57" s="34">
        <f>Drivers!$G$265</f>
        <v/>
      </c>
      <c r="C57" s="40" t="n">
        <v>450</v>
      </c>
      <c r="D57" s="47" t="n">
        <v>1</v>
      </c>
      <c r="E57" s="3">
        <f>IF(ISERROR(B57-C57),"FAIL",IF(ABS(B57-C57)&lt;=D57,"PASS","FAIL"))</f>
        <v/>
      </c>
      <c r="F57" s="39" t="inlineStr"/>
    </row>
    <row r="58">
      <c r="A58" s="5" t="inlineStr">
        <is>
          <t>Mgmt Guide FY2026E segment EBITDA = $1,525M</t>
        </is>
      </c>
      <c r="B58" s="34">
        <f>Drivers!$G$262</f>
        <v/>
      </c>
      <c r="C58" s="40" t="n">
        <v>1525</v>
      </c>
      <c r="D58" s="47" t="n">
        <v>1</v>
      </c>
      <c r="E58" s="3">
        <f>IF(ISERROR(B58-C58),"FAIL",IF(ABS(B58-C58)&lt;=D58,"PASS","FAIL"))</f>
        <v/>
      </c>
      <c r="F58" s="39" t="inlineStr"/>
    </row>
    <row r="59">
      <c r="A59" s="5" t="inlineStr">
        <is>
          <t>Mgmt Guide FY2026E Aerospace = $1,050M</t>
        </is>
      </c>
      <c r="B59" s="34">
        <f>Drivers!$G$259</f>
        <v/>
      </c>
      <c r="C59" s="40" t="n">
        <v>1050</v>
      </c>
      <c r="D59" s="47" t="n">
        <v>1</v>
      </c>
      <c r="E59" s="3">
        <f>IF(ISERROR(B59-C59),"FAIL",IF(ABS(B59-C59)&lt;=D59,"PASS","FAIL"))</f>
        <v/>
      </c>
      <c r="F59" s="39" t="inlineStr"/>
    </row>
    <row r="60">
      <c r="A60" s="5" t="inlineStr">
        <is>
          <t>Mgmt Guide FY2026E Leasing = $475M</t>
        </is>
      </c>
      <c r="B60" s="34">
        <f>Drivers!$G$261</f>
        <v/>
      </c>
      <c r="C60" s="40" t="n">
        <v>475</v>
      </c>
      <c r="D60" s="47" t="n">
        <v>1</v>
      </c>
      <c r="E60" s="3">
        <f>IF(ISERROR(B60-C60),"FAIL",IF(ABS(B60-C60)&lt;=D60,"PASS","FAIL"))</f>
        <v/>
      </c>
      <c r="F60" s="39" t="inlineStr"/>
    </row>
    <row r="61">
      <c r="A61" s="5" t="inlineStr">
        <is>
          <t>Base FY2027E segment EBITDA ~ $1,920M</t>
        </is>
      </c>
      <c r="B61" s="34">
        <f>Drivers!$E$266</f>
        <v/>
      </c>
      <c r="C61" s="40" t="n">
        <v>1920</v>
      </c>
      <c r="D61" s="47" t="n">
        <v>5</v>
      </c>
      <c r="E61" s="3">
        <f>IF(ISERROR(B61-C61),"FAIL",IF(ABS(B61-C61)&lt;=D61,"PASS","FAIL"))</f>
        <v/>
      </c>
      <c r="F61" s="39" t="inlineStr"/>
    </row>
    <row r="62">
      <c r="A62" s="5" t="inlineStr">
        <is>
          <t>Bear FY2027E segment EBITDA ~ $1,470M</t>
        </is>
      </c>
      <c r="B62" s="34">
        <f>Drivers!$D$266</f>
        <v/>
      </c>
      <c r="C62" s="40" t="n">
        <v>1470</v>
      </c>
      <c r="D62" s="47" t="n">
        <v>5</v>
      </c>
      <c r="E62" s="3">
        <f>IF(ISERROR(B62-C62),"FAIL",IF(ABS(B62-C62)&lt;=D62,"PASS","FAIL"))</f>
        <v/>
      </c>
      <c r="F62" s="39" t="inlineStr"/>
    </row>
    <row r="63">
      <c r="A63" s="5" t="inlineStr">
        <is>
          <t>Bull FY2027E segment EBITDA ~ $2,480M</t>
        </is>
      </c>
      <c r="B63" s="34">
        <f>Drivers!$F$266</f>
        <v/>
      </c>
      <c r="C63" s="40" t="n">
        <v>2480</v>
      </c>
      <c r="D63" s="47" t="n">
        <v>5</v>
      </c>
      <c r="E63" s="3">
        <f>IF(ISERROR(B63-C63),"FAIL",IF(ABS(B63-C63)&lt;=D63,"PASS","FAIL"))</f>
        <v/>
      </c>
      <c r="F63" s="39" t="inlineStr"/>
    </row>
    <row r="64">
      <c r="A64" s="5" t="inlineStr">
        <is>
          <t>Engine (selected) FY27 segment EBITDA = Quarterly FY27 (no logic drift)</t>
        </is>
      </c>
      <c r="B64" s="34">
        <f>Drivers!$H$266</f>
        <v/>
      </c>
      <c r="C64" s="34">
        <f>Quarterly!K38</f>
        <v/>
      </c>
      <c r="D64" s="47" t="n">
        <v>0.01</v>
      </c>
      <c r="E64" s="3">
        <f>IF(ISERROR(B64-C64),"FAIL",IF(ABS(B64-C64)&lt;=D64,"PASS","FAIL"))</f>
        <v/>
      </c>
      <c r="F64" s="39" t="inlineStr"/>
    </row>
    <row r="65">
      <c r="A65" s="5" t="inlineStr">
        <is>
          <t>Engine (selected) FY26 segment EBITDA = Quarterly FY26</t>
        </is>
      </c>
      <c r="B65" s="34">
        <f>Drivers!$H$262</f>
        <v/>
      </c>
      <c r="C65" s="34">
        <f>Quarterly!J38</f>
        <v/>
      </c>
      <c r="D65" s="47" t="n">
        <v>0.01</v>
      </c>
      <c r="E65" s="3">
        <f>IF(ISERROR(B65-C65),"FAIL",IF(ABS(B65-C65)&lt;=D65,"PASS","FAIL"))</f>
        <v/>
      </c>
      <c r="F65" s="39" t="inlineStr"/>
    </row>
    <row r="66">
      <c r="A66" s="10" t="inlineStr">
        <is>
          <t>4. Valuation targets (thesis.md section 2: Base ~172, Bear ~115, Bull ~280)</t>
        </is>
      </c>
      <c r="B66" s="11" t="n"/>
      <c r="C66" s="11" t="n"/>
      <c r="D66" s="11" t="n"/>
      <c r="E66" s="11" t="n"/>
      <c r="F66" s="11" t="n"/>
    </row>
    <row r="67">
      <c r="A67" s="5" t="inlineStr">
        <is>
          <t>Base SOTP ex-corporate ~ $172</t>
        </is>
      </c>
      <c r="B67" s="6">
        <f>Valuation!C36</f>
        <v/>
      </c>
      <c r="C67" s="41" t="n">
        <v>172</v>
      </c>
      <c r="D67" s="47" t="n">
        <v>2</v>
      </c>
      <c r="E67" s="3">
        <f>IF(ISERROR(B67-C67),"FAIL",IF(ABS(B67-C67)&lt;=D67,"PASS","FAIL"))</f>
        <v/>
      </c>
      <c r="F67" s="39" t="inlineStr">
        <is>
          <t>Difference mainly the $65M preferred deduction and book 1,511.9</t>
        </is>
      </c>
    </row>
    <row r="68">
      <c r="A68" s="5" t="inlineStr">
        <is>
          <t>Bear SOTP ex-corporate ~ $115</t>
        </is>
      </c>
      <c r="B68" s="6">
        <f>Valuation!B36</f>
        <v/>
      </c>
      <c r="C68" s="41" t="n">
        <v>115</v>
      </c>
      <c r="D68" s="47" t="n">
        <v>2</v>
      </c>
      <c r="E68" s="3">
        <f>IF(ISERROR(B68-C68),"FAIL",IF(ABS(B68-C68)&lt;=D68,"PASS","FAIL"))</f>
        <v/>
      </c>
      <c r="F68" s="39" t="inlineStr"/>
    </row>
    <row r="69">
      <c r="A69" s="5" t="inlineStr">
        <is>
          <t>Bull SOTP ex-corporate ~ $280</t>
        </is>
      </c>
      <c r="B69" s="6">
        <f>Valuation!D36</f>
        <v/>
      </c>
      <c r="C69" s="41" t="n">
        <v>280</v>
      </c>
      <c r="D69" s="47" t="n">
        <v>2</v>
      </c>
      <c r="E69" s="3">
        <f>IF(ISERROR(B69-C69),"FAIL",IF(ABS(B69-C69)&lt;=D69,"PASS","FAIL"))</f>
        <v/>
      </c>
      <c r="F69" s="39" t="inlineStr"/>
    </row>
    <row r="70">
      <c r="A70" s="5" t="inlineStr">
        <is>
          <t>Net debt: balance sheet vs stockanalysis (EV - market cap)</t>
        </is>
      </c>
      <c r="B70" s="34">
        <f>Drivers!$D$185</f>
        <v/>
      </c>
      <c r="C70" s="34">
        <f>Drivers!$D$184</f>
        <v/>
      </c>
      <c r="D70" s="47" t="n">
        <v>5</v>
      </c>
      <c r="E70" s="3">
        <f>IF(ISERROR(B70-C70),"FAIL",IF(ABS(B70-C70)&lt;=D70,"PASS","FAIL"))</f>
        <v/>
      </c>
      <c r="F70" s="39" t="inlineStr"/>
    </row>
    <row r="71">
      <c r="A71" s="10" t="inlineStr">
        <is>
          <t>5. Cash flow facts from the filings</t>
        </is>
      </c>
      <c r="B71" s="11" t="n"/>
      <c r="C71" s="11" t="n"/>
      <c r="D71" s="11" t="n"/>
      <c r="E71" s="11" t="n"/>
      <c r="F71" s="11" t="n"/>
    </row>
    <row r="72">
      <c r="A72" s="5" t="inlineStr">
        <is>
          <t>FY25 CFO = -310.7</t>
        </is>
      </c>
      <c r="B72" s="34">
        <f>Historical!$D$48</f>
        <v/>
      </c>
      <c r="C72" s="40" t="n">
        <v>-310.7</v>
      </c>
      <c r="D72" s="47" t="n">
        <v>0.1</v>
      </c>
      <c r="E72" s="3">
        <f>IF(ISERROR(B72-C72),"FAIL",IF(ABS(B72-C72)&lt;=D72,"PASS","FAIL"))</f>
        <v/>
      </c>
      <c r="F72" s="39" t="inlineStr"/>
    </row>
    <row r="73">
      <c r="A73" s="5" t="inlineStr">
        <is>
          <t>FY25 CFI = +723.3</t>
        </is>
      </c>
      <c r="B73" s="34">
        <f>Historical!$D$49</f>
        <v/>
      </c>
      <c r="C73" s="40" t="n">
        <v>723.3</v>
      </c>
      <c r="D73" s="47" t="n">
        <v>0.1</v>
      </c>
      <c r="E73" s="3">
        <f>IF(ISERROR(B73-C73),"FAIL",IF(ABS(B73-C73)&lt;=D73,"PASS","FAIL"))</f>
        <v/>
      </c>
      <c r="F73" s="39" t="inlineStr"/>
    </row>
    <row r="74">
      <c r="A74" s="5" t="inlineStr">
        <is>
          <t>FY25 CFO + CFI = 412.6</t>
        </is>
      </c>
      <c r="B74" s="34">
        <f>Historical!$D$50</f>
        <v/>
      </c>
      <c r="C74" s="40" t="n">
        <v>412.6</v>
      </c>
      <c r="D74" s="47" t="n">
        <v>0.1</v>
      </c>
      <c r="E74" s="3">
        <f>IF(ISERROR(B74-C74),"FAIL",IF(ABS(B74-C74)&lt;=D74,"PASS","FAIL"))</f>
        <v/>
      </c>
      <c r="F74" s="39" t="inlineStr"/>
    </row>
    <row r="75">
      <c r="A75" s="5" t="inlineStr">
        <is>
          <t>1H26 CFO + CFI = 250.4</t>
        </is>
      </c>
      <c r="B75" s="60">
        <f>Historical!$M$50+Historical!$N$50</f>
        <v/>
      </c>
      <c r="C75" s="40" t="n">
        <v>250.4</v>
      </c>
      <c r="D75" s="47" t="n">
        <v>0.1</v>
      </c>
      <c r="E75" s="3">
        <f>IF(ISERROR(B75-C75),"FAIL",IF(ABS(B75-C75)&lt;=D75,"PASS","FAIL"))</f>
        <v/>
      </c>
      <c r="F75" s="39" t="inlineStr"/>
    </row>
    <row r="76">
      <c r="A76" s="5" t="inlineStr">
        <is>
          <t>1H26 seed-sale proceeds = 175.7</t>
        </is>
      </c>
      <c r="B76" s="60">
        <f>Historical!$M$52+Historical!$N$52</f>
        <v/>
      </c>
      <c r="C76" s="40" t="n">
        <v>175.7</v>
      </c>
      <c r="D76" s="47" t="n">
        <v>0.1</v>
      </c>
      <c r="E76" s="3">
        <f>IF(ISERROR(B76-C76),"FAIL",IF(ABS(B76-C76)&lt;=D76,"PASS","FAIL"))</f>
        <v/>
      </c>
      <c r="F76" s="39" t="inlineStr"/>
    </row>
    <row r="77">
      <c r="A77" s="5" t="inlineStr">
        <is>
          <t>1H26 insurance proceeds = 48.3</t>
        </is>
      </c>
      <c r="B77" s="60">
        <f>Historical!$M$53+Historical!$N$53</f>
        <v/>
      </c>
      <c r="C77" s="40" t="n">
        <v>48.3</v>
      </c>
      <c r="D77" s="47" t="n">
        <v>0.1</v>
      </c>
      <c r="E77" s="3">
        <f>IF(ISERROR(B77-C77),"FAIL",IF(ABS(B77-C77)&lt;=D77,"PASS","FAIL"))</f>
        <v/>
      </c>
      <c r="F77" s="39" t="inlineStr"/>
    </row>
    <row r="78">
      <c r="A78" s="5" t="inlineStr">
        <is>
          <t>1H26 clean CFO + CFI ~ 26 (after ~351 inventory build)</t>
        </is>
      </c>
      <c r="B78" s="60">
        <f>Historical!$M$86+Historical!$N$86</f>
        <v/>
      </c>
      <c r="C78" s="40" t="n">
        <v>26.4</v>
      </c>
      <c r="D78" s="47" t="n">
        <v>0.2</v>
      </c>
      <c r="E78" s="3">
        <f>IF(ISERROR(B78-C78),"FAIL",IF(ABS(B78-C78)&lt;=D78,"PASS","FAIL"))</f>
        <v/>
      </c>
      <c r="F78" s="39" t="inlineStr"/>
    </row>
    <row r="79">
      <c r="A79" s="5" t="inlineStr">
        <is>
          <t>FY25: 724 - 412.6 - 252 = 59.4 inferred residual</t>
        </is>
      </c>
      <c r="B79" s="34">
        <f>FCF_Quality!B36</f>
        <v/>
      </c>
      <c r="C79" s="40" t="n">
        <v>59.4</v>
      </c>
      <c r="D79" s="47" t="n">
        <v>0.2</v>
      </c>
      <c r="E79" s="3">
        <f>IF(ISERROR(B79-C79),"FAIL",IF(ABS(B79-C79)&lt;=D79,"PASS","FAIL"))</f>
        <v/>
      </c>
      <c r="F79" s="39" t="inlineStr">
        <is>
          <t>INFERRED, not confirmed</t>
        </is>
      </c>
    </row>
    <row r="80">
      <c r="A80" s="5" t="inlineStr">
        <is>
          <t>Mgmt Guide FY2026E company-defined Adjusted FCF = $878M (snapshot, back-solved)</t>
        </is>
      </c>
      <c r="B80" s="34">
        <f>Valuation!E94</f>
        <v/>
      </c>
      <c r="C80" s="40" t="n">
        <v>878</v>
      </c>
      <c r="D80" s="47" t="n">
        <v>1</v>
      </c>
      <c r="E80" s="3">
        <f>IF(ISERROR(B80-C80),"FAIL",IF(ABS(B80-C80)&lt;=D80,"PASS","FAIL"))</f>
        <v/>
      </c>
      <c r="F80" s="39" t="inlineStr">
        <is>
          <t>KEY #2 conversion back-solved to the guide</t>
        </is>
      </c>
    </row>
    <row r="81">
      <c r="A81" s="10" t="inlineStr">
        <is>
          <t>6. EPS bridge back-test on actual quarters (driver-based vs reported)</t>
        </is>
      </c>
      <c r="B81" s="11" t="n"/>
      <c r="C81" s="11" t="n"/>
      <c r="D81" s="11" t="n"/>
      <c r="E81" s="11" t="n"/>
      <c r="F81" s="11" t="n"/>
    </row>
    <row r="82">
      <c r="A82" s="5" t="inlineStr">
        <is>
          <t>Q1'26 predicted EPS vs reported 1.29 (within $0.10)</t>
        </is>
      </c>
      <c r="B82" s="6">
        <f>Quarterly!B92</f>
        <v/>
      </c>
      <c r="C82" s="6">
        <f>Quarterly!B93</f>
        <v/>
      </c>
      <c r="D82" s="47" t="n">
        <v>0.1</v>
      </c>
      <c r="E82" s="3">
        <f>IF(ISERROR(B82-C82),"FAIL",IF(ABS(B82-C82)&lt;=D82,"PASS","FAIL"))</f>
        <v/>
      </c>
      <c r="F82" s="39" t="inlineStr"/>
    </row>
    <row r="83">
      <c r="A83" s="5" t="inlineStr">
        <is>
          <t>Q2'26 predicted EPS vs reported 1.13 (within $0.10)</t>
        </is>
      </c>
      <c r="B83" s="6">
        <f>Quarterly!C92</f>
        <v/>
      </c>
      <c r="C83" s="6">
        <f>Quarterly!C93</f>
        <v/>
      </c>
      <c r="D83" s="47" t="n">
        <v>0.1</v>
      </c>
      <c r="E83" s="3">
        <f>IF(ISERROR(B83-C83),"FAIL",IF(ABS(B83-C83)&lt;=D83,"PASS","FAIL"))</f>
        <v/>
      </c>
      <c r="F83" s="39" t="inlineStr"/>
    </row>
    <row r="84">
      <c r="A84" s="5" t="inlineStr">
        <is>
          <t>1H26 predicted EPS vs reported (within $0.05)</t>
        </is>
      </c>
      <c r="B84" s="19">
        <f>Quarterly!B92+Quarterly!C92</f>
        <v/>
      </c>
      <c r="C84" s="19">
        <f>Quarterly!B93+Quarterly!C93</f>
        <v/>
      </c>
      <c r="D84" s="47" t="n">
        <v>0.05</v>
      </c>
      <c r="E84" s="3">
        <f>IF(ISERROR(B84-C84),"FAIL",IF(ABS(B84-C84)&lt;=D84,"PASS","FAIL"))</f>
        <v/>
      </c>
      <c r="F84" s="39" t="inlineStr"/>
    </row>
    <row r="85">
      <c r="A85" s="10" t="inlineStr">
        <is>
          <t>7. Leasing book guards and error scan</t>
        </is>
      </c>
      <c r="B85" s="11" t="n"/>
      <c r="C85" s="11" t="n"/>
      <c r="D85" s="11" t="n"/>
      <c r="E85" s="11" t="n"/>
      <c r="F85" s="11" t="n"/>
    </row>
    <row r="86">
      <c r="A86" s="5" t="inlineStr">
        <is>
          <t>Leasing book never negative, Bear (min of book end rows, floor 0)</t>
        </is>
      </c>
      <c r="B86" s="60">
        <f>MAX(0,-MIN(Drivers!D235:I235))</f>
        <v/>
      </c>
      <c r="C86" s="40" t="n">
        <v>0</v>
      </c>
      <c r="D86" s="47" t="n">
        <v>0.001</v>
      </c>
      <c r="E86" s="3">
        <f>IF(ISERROR(B86-C86),"FAIL",IF(ABS(B86-C86)&lt;=D86,"PASS","FAIL"))</f>
        <v/>
      </c>
      <c r="F86" s="39" t="inlineStr"/>
    </row>
    <row r="87">
      <c r="A87" s="5" t="inlineStr">
        <is>
          <t>Leasing book never negative, Base (min of book end rows, floor 0)</t>
        </is>
      </c>
      <c r="B87" s="60">
        <f>MAX(0,-MIN(Drivers!D241:I241))</f>
        <v/>
      </c>
      <c r="C87" s="40" t="n">
        <v>0</v>
      </c>
      <c r="D87" s="47" t="n">
        <v>0.001</v>
      </c>
      <c r="E87" s="3">
        <f>IF(ISERROR(B87-C87),"FAIL",IF(ABS(B87-C87)&lt;=D87,"PASS","FAIL"))</f>
        <v/>
      </c>
      <c r="F87" s="39" t="inlineStr"/>
    </row>
    <row r="88">
      <c r="A88" s="5" t="inlineStr">
        <is>
          <t>Leasing book never negative, Bull (min of book end rows, floor 0)</t>
        </is>
      </c>
      <c r="B88" s="60">
        <f>MAX(0,-MIN(Drivers!D247:I247))</f>
        <v/>
      </c>
      <c r="C88" s="40" t="n">
        <v>0</v>
      </c>
      <c r="D88" s="47" t="n">
        <v>0.001</v>
      </c>
      <c r="E88" s="3">
        <f>IF(ISERROR(B88-C88),"FAIL",IF(ABS(B88-C88)&lt;=D88,"PASS","FAIL"))</f>
        <v/>
      </c>
      <c r="F88" s="39" t="inlineStr"/>
    </row>
    <row r="89">
      <c r="A89" s="5" t="inlineStr">
        <is>
          <t>Leasing book never negative, Mgmt Guide (min of book end rows, floor 0)</t>
        </is>
      </c>
      <c r="B89" s="60">
        <f>MAX(0,-MIN(Drivers!D253:I253))</f>
        <v/>
      </c>
      <c r="C89" s="40" t="n">
        <v>0</v>
      </c>
      <c r="D89" s="47" t="n">
        <v>0.001</v>
      </c>
      <c r="E89" s="3">
        <f>IF(ISERROR(B89-C89),"FAIL",IF(ABS(B89-C89)&lt;=D89,"PASS","FAIL"))</f>
        <v/>
      </c>
      <c r="F89" s="39" t="inlineStr"/>
    </row>
    <row r="90">
      <c r="A90" s="5" t="inlineStr">
        <is>
          <t>Book sold &lt;= beginning book in every selected-scenario quarter (count of violations)</t>
        </is>
      </c>
      <c r="B90" s="60">
        <f>SUMPRODUCT(--(Quarterly!D22:I22&gt;Quarterly!D21:I21))</f>
        <v/>
      </c>
      <c r="C90" s="40" t="n">
        <v>0</v>
      </c>
      <c r="D90" s="47" t="n">
        <v>0.001</v>
      </c>
      <c r="E90" s="3">
        <f>IF(ISERROR(B90-C90),"FAIL",IF(ABS(B90-C90)&lt;=D90,"PASS","FAIL"))</f>
        <v/>
      </c>
      <c r="F90" s="39" t="inlineStr"/>
    </row>
    <row r="91">
      <c r="A91" s="5" t="inlineStr">
        <is>
          <t>Annual: leasing book end &gt;= 0 FY28-30 (min)</t>
        </is>
      </c>
      <c r="B91" s="60">
        <f>MAX(0,-MIN(Annual!G25:I25))</f>
        <v/>
      </c>
      <c r="C91" s="40" t="n">
        <v>0</v>
      </c>
      <c r="D91" s="47" t="n">
        <v>0.001</v>
      </c>
      <c r="E91" s="3">
        <f>IF(ISERROR(B91-C91),"FAIL",IF(ABS(B91-C91)&lt;=D91,"PASS","FAIL"))</f>
        <v/>
      </c>
      <c r="F91" s="39" t="inlineStr"/>
    </row>
    <row r="92">
      <c r="A92" s="5" t="inlineStr">
        <is>
          <t>Error cells in Quarterly (count)</t>
        </is>
      </c>
      <c r="B92" s="60">
        <f>SUMPRODUCT(--ISERROR(Quarterly!B5:K94))</f>
        <v/>
      </c>
      <c r="C92" s="40" t="n">
        <v>0</v>
      </c>
      <c r="D92" s="47" t="n">
        <v>0.001</v>
      </c>
      <c r="E92" s="3">
        <f>IF(ISERROR(B92-C92),"FAIL",IF(ABS(B92-C92)&lt;=D92,"PASS","FAIL"))</f>
        <v/>
      </c>
      <c r="F92" s="39" t="inlineStr"/>
    </row>
    <row r="93">
      <c r="A93" s="5" t="inlineStr">
        <is>
          <t>Error cells in Annual (count)</t>
        </is>
      </c>
      <c r="B93" s="60">
        <f>SUMPRODUCT(--ISERROR(Annual!B5:I88))</f>
        <v/>
      </c>
      <c r="C93" s="40" t="n">
        <v>0</v>
      </c>
      <c r="D93" s="47" t="n">
        <v>0.001</v>
      </c>
      <c r="E93" s="3">
        <f>IF(ISERROR(B93-C93),"FAIL",IF(ABS(B93-C93)&lt;=D93,"PASS","FAIL"))</f>
        <v/>
      </c>
      <c r="F93" s="39" t="inlineStr"/>
    </row>
    <row r="94">
      <c r="A94" s="5" t="inlineStr">
        <is>
          <t>Error cells in Valuation (count)</t>
        </is>
      </c>
      <c r="B94" s="60">
        <f>SUMPRODUCT(--ISERROR(Valuation!B4:F101))</f>
        <v/>
      </c>
      <c r="C94" s="40" t="n">
        <v>0</v>
      </c>
      <c r="D94" s="47" t="n">
        <v>0.001</v>
      </c>
      <c r="E94" s="3">
        <f>IF(ISERROR(B94-C94),"FAIL",IF(ABS(B94-C94)&lt;=D94,"PASS","FAIL"))</f>
        <v/>
      </c>
      <c r="F94" s="39" t="inlineStr"/>
    </row>
    <row r="95">
      <c r="A95" s="5" t="inlineStr">
        <is>
          <t>Probability weights sum to 100%</t>
        </is>
      </c>
      <c r="B95" s="15">
        <f>Valuation!F97</f>
        <v/>
      </c>
      <c r="C95" s="46" t="n">
        <v>1</v>
      </c>
      <c r="D95" s="47" t="n">
        <v>0.0001</v>
      </c>
      <c r="E95" s="3">
        <f>IF(ISERROR(B95-C95),"FAIL",IF(ABS(B95-C95)&lt;=D95,"PASS","FAIL"))</f>
        <v/>
      </c>
      <c r="F95" s="39" t="inlineStr"/>
    </row>
    <row r="96">
      <c r="A96" s="5" t="inlineStr">
        <is>
          <t>Blend weights sum to 100%</t>
        </is>
      </c>
      <c r="B96" s="9">
        <f>Drivers!$D$218+Drivers!$D$219+Drivers!$D$220</f>
        <v/>
      </c>
      <c r="C96" s="46" t="n">
        <v>1</v>
      </c>
      <c r="D96" s="47" t="n">
        <v>0.0001</v>
      </c>
      <c r="E96" s="3">
        <f>IF(ISERROR(B96-C96),"FAIL",IF(ABS(B96-C96)&lt;=D96,"PASS","FAIL"))</f>
        <v/>
      </c>
      <c r="F96" s="39" t="inlineStr"/>
    </row>
    <row r="97">
      <c r="A97" s="5" t="inlineStr">
        <is>
          <t>Revolver never drawn above 0 in selected scenario (info)</t>
        </is>
      </c>
      <c r="B97" s="60">
        <f>MAX(Quarterly!D83:I83,Annual!G83:I83)</f>
        <v/>
      </c>
      <c r="C97" s="40" t="n">
        <v>0</v>
      </c>
      <c r="D97" s="47" t="n">
        <v>0.001</v>
      </c>
      <c r="E97" s="3">
        <f>IF(ISERROR(B97-C97),"FAIL",IF(ABS(B97-C97)&lt;=D97,"PASS","FAIL"))</f>
        <v/>
      </c>
      <c r="F97" s="39" t="inlineStr">
        <is>
          <t>Cash stays above the minimum balance</t>
        </is>
      </c>
    </row>
    <row r="98"/>
    <row r="99">
      <c r="A99" s="3" t="inlineStr">
        <is>
          <t>SUMMARY: checks passed</t>
        </is>
      </c>
      <c r="B99" s="92">
        <f>COUNTIF(E5:E97,"PASS")</f>
        <v/>
      </c>
    </row>
    <row r="100">
      <c r="A100" s="3" t="inlineStr">
        <is>
          <t>SUMMARY: checks failed</t>
        </is>
      </c>
      <c r="B100" s="92">
        <f>COUNTIF(E5:E97,"FAIL")</f>
        <v/>
      </c>
    </row>
    <row r="101"/>
  </sheetData>
  <conditionalFormatting sqref="E5:E97">
    <cfRule type="cellIs" priority="1" operator="equal" dxfId="0">
      <formula>"PASS"</formula>
    </cfRule>
    <cfRule type="cellIs" priority="2" operator="equal" dxfId="1">
      <formula>"FAIL"</formula>
    </cfRule>
  </conditionalFormatting>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D32"/>
  <sheetViews>
    <sheetView showGridLines="0" workbookViewId="0">
      <pane ySplit="4" topLeftCell="A5" activePane="bottomLeft" state="frozen"/>
      <selection pane="bottomLeft" activeCell="A1" sqref="A1"/>
    </sheetView>
  </sheetViews>
  <sheetFormatPr baseColWidth="8" defaultRowHeight="15"/>
  <cols>
    <col width="70" customWidth="1" min="1" max="1"/>
    <col width="90" customWidth="1" min="2" max="2"/>
    <col width="26" customWidth="1" min="3" max="3"/>
    <col width="70" customWidth="1" min="4" max="4"/>
  </cols>
  <sheetData>
    <row r="1">
      <c r="A1" s="1" t="inlineStr">
        <is>
          <t>Sources, inferred / unverified items, and method note</t>
        </is>
      </c>
    </row>
    <row r="2">
      <c r="A2" s="2" t="inlineStr">
        <is>
          <t>Every typed input in Historical and Drivers carries a source or rationale in its row. Dates are retrieval or filing dates.</t>
        </is>
      </c>
    </row>
    <row r="4">
      <c r="A4" s="13" t="inlineStr">
        <is>
          <t>Source</t>
        </is>
      </c>
      <c r="B4" s="14" t="inlineStr">
        <is>
          <t>URL / accession</t>
        </is>
      </c>
      <c r="C4" s="14" t="inlineStr">
        <is>
          <t>Date</t>
        </is>
      </c>
      <c r="D4" s="14" t="inlineStr">
        <is>
          <t>Used for</t>
        </is>
      </c>
    </row>
    <row r="5">
      <c r="A5" s="93" t="inlineStr">
        <is>
          <t>SEC EDGAR, FTAI Aviation Ltd. (CIK 1590364): Q2-26 10-Q</t>
        </is>
      </c>
      <c r="B5" s="93" t="inlineStr">
        <is>
          <t>acc 0001628280-26-051412; https://www.sec.gov/Archives/edgar/data/1590364/000162828026051412/ftai-20260630.htm</t>
        </is>
      </c>
      <c r="C5" s="93" t="inlineStr">
        <is>
          <t>Period ended 2026-06-30; pulled 2026-10-06</t>
        </is>
      </c>
      <c r="D5" s="93" t="inlineStr">
        <is>
          <t>Segment, IS, BS, CF, debt note, related party</t>
        </is>
      </c>
    </row>
    <row r="6">
      <c r="A6" s="93" t="inlineStr">
        <is>
          <t>Q2-26 earnings release (8-K Ex99.1)</t>
        </is>
      </c>
      <c r="B6" s="93" t="inlineStr">
        <is>
          <t>acc 0001628280-26-050622; https://www.sec.gov/Archives/edgar/data/1590364/000162828026050622/ftai6302026earningsrelease.htm</t>
        </is>
      </c>
      <c r="C6" s="93" t="inlineStr">
        <is>
          <t>2026-07-29</t>
        </is>
      </c>
      <c r="D6" s="93" t="inlineStr">
        <is>
          <t>2026/2027 guidance (1,525 / 2,300; Leasing cut to 475), Adj. EBITDA definition</t>
        </is>
      </c>
    </row>
    <row r="7">
      <c r="A7" s="93" t="inlineStr">
        <is>
          <t>Q1-26 earnings release (8-K Ex99.1)</t>
        </is>
      </c>
      <c r="B7" s="93" t="inlineStr">
        <is>
          <t>acc 0001628280-26-028390</t>
        </is>
      </c>
      <c r="C7" s="93" t="inlineStr">
        <is>
          <t>2026-04-29</t>
        </is>
      </c>
      <c r="D7" s="93" t="inlineStr">
        <is>
          <t>Q1-26 results, Jereh JV bullet, 100-unit Power target</t>
        </is>
      </c>
    </row>
    <row r="8">
      <c r="A8" s="93" t="inlineStr">
        <is>
          <t>Q4-25 earnings release (8-K Ex99.1)</t>
        </is>
      </c>
      <c r="B8" s="93" t="inlineStr">
        <is>
          <t>acc 0001628280-26-011685</t>
        </is>
      </c>
      <c r="C8" s="93" t="inlineStr">
        <is>
          <t>2026-02-25</t>
        </is>
      </c>
      <c r="D8" s="93" t="inlineStr">
        <is>
          <t>2026 guide 1,625 (Aero 1,050 + Leasing 575)</t>
        </is>
      </c>
    </row>
    <row r="9">
      <c r="A9" s="93" t="inlineStr">
        <is>
          <t>Q3-25 earnings release (8-K Ex99.1)</t>
        </is>
      </c>
      <c r="B9" s="93" t="inlineStr">
        <is>
          <t>acc 0001590364-25-000038</t>
        </is>
      </c>
      <c r="C9" s="93" t="inlineStr">
        <is>
          <t>2025-10-29</t>
        </is>
      </c>
      <c r="D9" s="93" t="inlineStr">
        <is>
          <t>2026 guide 1,525</t>
        </is>
      </c>
    </row>
    <row r="10">
      <c r="A10" s="93" t="inlineStr">
        <is>
          <t>Q4-24 earnings release (8-K Ex99.1)</t>
        </is>
      </c>
      <c r="B10" s="93" t="inlineStr">
        <is>
          <t>acc 0001140361-25-006099</t>
        </is>
      </c>
      <c r="C10" s="93" t="inlineStr">
        <is>
          <t>2025-02-26</t>
        </is>
      </c>
      <c r="D10" s="93" t="inlineStr">
        <is>
          <t>2025 FCF target 650, module assumption</t>
        </is>
      </c>
    </row>
    <row r="11">
      <c r="A11" s="93" t="inlineStr">
        <is>
          <t>10-Qs 2023-2025, 10-K FY23/FY24/FY25 (segment notes, cash flow statements, balance sheets)</t>
        </is>
      </c>
      <c r="B11" s="93" t="inlineStr">
        <is>
          <t>acc 0001590364-24-000011 (Q1-24), 0001590364-24-000016 (Q2-24), 0001590364-23-000013 (Q1-23), others per phase2/data CSV source columns</t>
        </is>
      </c>
      <c r="C11" s="93" t="inlineStr">
        <is>
          <t>2023-2026</t>
        </is>
      </c>
      <c r="D11" s="93" t="inlineStr">
        <is>
          <t>Historical tab</t>
        </is>
      </c>
    </row>
    <row r="12">
      <c r="A12" s="93" t="inlineStr">
        <is>
          <t>Q4-25 earnings call transcript (Motley Fool)</t>
        </is>
      </c>
      <c r="B12" s="93" t="inlineStr">
        <is>
          <t>https://www.fool.com/earnings/call-transcripts/2026/02/26/ftai-ftai-q4-2025-earnings-call-transcript/</t>
        </is>
      </c>
      <c r="C12" s="93" t="inlineStr">
        <is>
          <t>2026-02-26</t>
        </is>
      </c>
      <c r="D12" s="93" t="inlineStr">
        <is>
          <t>FY25 Adjusted FCF 724, three named investments (52 / 150 / 50), Power margin comment (secondary)</t>
        </is>
      </c>
    </row>
    <row r="13">
      <c r="A13" s="93" t="inlineStr">
        <is>
          <t>Q2-26 earnings call transcript (Investing.com)</t>
        </is>
      </c>
      <c r="B13" s="93" t="inlineStr">
        <is>
          <t>investing.com transcript</t>
        </is>
      </c>
      <c r="C13" s="93" t="inlineStr">
        <is>
          <t>2026-07-30</t>
        </is>
      </c>
      <c r="D13" s="93" t="inlineStr">
        <is>
          <t>FY26 FCF guide 878 (from 915), 1,200 modules 2026, 1,700 modules 2027, Power range 450-750, Leasing components 5 / 48 / 35 (secondary)</t>
        </is>
      </c>
    </row>
    <row r="14">
      <c r="A14" s="93" t="inlineStr">
        <is>
          <t>stockanalysis.com /forecast and /statistics</t>
        </is>
      </c>
      <c r="B14" s="93" t="inlineStr">
        <is>
          <t>https://stockanalysis.com/stocks/ftai/statistics/ ; https://stockanalysis.com/stocks/ftai/forecast/</t>
        </is>
      </c>
      <c r="C14" s="93" t="inlineStr">
        <is>
          <t>2026-10-06</t>
        </is>
      </c>
      <c r="D14" s="93" t="inlineStr">
        <is>
          <t>Price 179.44, market cap, EV, shares, peer multiples, forward P/E, FY26 EPS 5.83</t>
        </is>
      </c>
    </row>
    <row r="15">
      <c r="A15" s="93" t="inlineStr">
        <is>
          <t>MarketBeat itemised price targets</t>
        </is>
      </c>
      <c r="B15" s="93" t="inlineStr">
        <is>
          <t>https://www.marketbeat.com/stocks/NASDAQ/FTAI/price-target/</t>
        </is>
      </c>
      <c r="C15" s="93" t="inlineStr">
        <is>
          <t>2026-10-06</t>
        </is>
      </c>
      <c r="D15" s="93" t="inlineStr">
        <is>
          <t>Seven dated post-June PTs, mean 330 / median 325</t>
        </is>
      </c>
    </row>
    <row r="16">
      <c r="A16" s="93" t="inlineStr">
        <is>
          <t>Jereh Group (002353) notice 2026-048 and 2026 half-year report</t>
        </is>
      </c>
      <c r="B16" s="93" t="inlineStr">
        <is>
          <t>https://stock.10jqka.com.cn/20260723/c678378497.shtml ; http://static.cninfo.com.cn/finalpage/2026-08-14/1225472540.PDF</t>
        </is>
      </c>
      <c r="C16" s="93" t="inlineStr">
        <is>
          <t>2026-07-22 / 2026-08-14</t>
        </is>
      </c>
      <c r="D16" s="93" t="inlineStr">
        <is>
          <t>J&amp;F Power Systems consolidated by Jereh (control); $1.465B PO</t>
        </is>
      </c>
    </row>
    <row r="17">
      <c r="A17" s="93" t="inlineStr">
        <is>
          <t>WestJet 737-700 sale-leaseback (finviz)</t>
        </is>
      </c>
      <c r="B17" s="93" t="inlineStr">
        <is>
          <t>https://finviz.com/news/395776/ftai-acquires-27-boeing-737-700-aircraft-from-westjet</t>
        </is>
      </c>
      <c r="C17" s="93" t="inlineStr">
        <is>
          <t>2026-09-28</t>
        </is>
      </c>
      <c r="D17" s="93" t="inlineStr">
        <is>
          <t>SCI II purchases, feedstock</t>
        </is>
      </c>
    </row>
    <row r="18">
      <c r="A18" s="93" t="inlineStr">
        <is>
          <t>Team research files</t>
        </is>
      </c>
      <c r="B18" s="93" t="inlineStr">
        <is>
          <t>research/FTAI/thesis.md; phase2/A_2027_guide.md; phase2/A_2027_guide_segment_build.csv; phase2/B_data_notes.md; phase2/data/*.csv</t>
        </is>
      </c>
      <c r="C18" s="93" t="inlineStr">
        <is>
          <t>2026-10-06</t>
        </is>
      </c>
      <c r="D18" s="93" t="inlineStr">
        <is>
          <t>Scenario builds, thesis, peer multiples, data notes</t>
        </is>
      </c>
    </row>
    <row r="20">
      <c r="A20" s="10" t="inlineStr">
        <is>
          <t>Inferred, unverified or assumed items (blue inputs with rationale on the Drivers tab)</t>
        </is>
      </c>
      <c r="B20" s="11" t="n"/>
      <c r="C20" s="11" t="n"/>
      <c r="D20" s="11" t="n"/>
    </row>
    <row r="21" ht="28" customHeight="1">
      <c r="A21" s="26" t="inlineStr">
        <is>
          <t>INFERRED: FY25 Adjusted FCF residual of ~$59M (probably $49.1M acquisitions + ~$10M JV item). Not confirmed.</t>
        </is>
      </c>
    </row>
    <row r="22" ht="28" customHeight="1">
      <c r="A22" s="26" t="inlineStr">
        <is>
          <t>UNVERIFIED: Power EBITDA per unit $7.5M and revenue per unit ~$25M (secondary reports); J&amp;F ownership split and FTAI's accounting for Power economics.</t>
        </is>
      </c>
    </row>
    <row r="23" ht="28" customHeight="1">
      <c r="A23" s="26" t="inlineStr">
        <is>
          <t>UNVERIFIED: $500M buyback (model toggle default OFF). UNVERIFIED: 2027 module target of 1,700 (truncated transcript read).</t>
        </is>
      </c>
    </row>
    <row r="24" ht="28" customHeight="1">
      <c r="A24" s="26" t="inlineStr">
        <is>
          <t>SECONDARY: module counts (Q4-25 228, Q2-26 296) and Q1-25 (~138) back-solved. Q1-26 modules are an ESTIMATE (EBITDA / 0.84).</t>
        </is>
      </c>
    </row>
    <row r="25" ht="28" customHeight="1">
      <c r="A25" s="26" t="inlineStr">
        <is>
          <t>ASSUMED (not in provided data): common dividend $0.30/quarter; SCI AUM path and ~6,000 starting AUM; fee rate derived from $7.0M servicing fees; revolver rate 6%, refinancing coupon 7%, minimum cash $300M.</t>
        </is>
      </c>
    </row>
    <row r="26" ht="28" customHeight="1">
      <c r="A26" s="26" t="inlineStr">
        <is>
          <t>ASSUMED: Power cash conversion 75% and EBITDA-to-pretax conversion 75% (invented); pro-rata SCI EBITDA Q1-26 equal to Q2-26 (28.0); other pre-tax adjustments calibrated on 1H26.</t>
        </is>
      </c>
    </row>
    <row r="27" ht="28" customHeight="1">
      <c r="A27" s="26" t="inlineStr">
        <is>
          <t>ASSUMED: leasing yield 8.5%, gain on sale 15%, seed share 30%, book sold paths, FY28-30 growth, margin cap/elasticity, inventory target days 150, tax rate 18%, DCF WACC 10% and terminal growth 3%, blend weights 40/30/30.</t>
        </is>
      </c>
    </row>
    <row r="28" ht="28" customHeight="1">
      <c r="A28" s="26" t="inlineStr">
        <is>
          <t>CAVEAT: consensus FY27 EPS of ~$8.87 is implied from stockanalysis's 20.2x forward P/E, which conflicts with its own FY26 EPS (30.8x). Use as an indication only.</t>
        </is>
      </c>
    </row>
    <row r="29" ht="28" customHeight="1">
      <c r="A29" s="26" t="inlineStr">
        <is>
          <t>NOT DISCLOSED: gains by segment (company-level only), SCI fee/promote terms, Q3-25 and Q1-26 module counts.</t>
        </is>
      </c>
    </row>
    <row r="30" ht="28" customHeight="1">
      <c r="A30" s="26" t="inlineStr">
        <is>
          <t>Q4 flows in Historical are derived as FY less 9M; quarters therefore sum to FY by construction.</t>
        </is>
      </c>
    </row>
    <row r="32" ht="42" customHeight="1">
      <c r="A32" s="94" t="inlineStr">
        <is>
          <t>Method note: this model was built with GenAI assistance (Claude, Anthropic) from a blank workbook via a reproducible Python/openpyxl script (build_model.py) and verified against filings and the team's sourced data files; no external or outside-research models were used or copied.</t>
        </is>
      </c>
    </row>
  </sheetData>
  <mergeCells count="11">
    <mergeCell ref="A23:D23"/>
    <mergeCell ref="A27:D27"/>
    <mergeCell ref="A22:D22"/>
    <mergeCell ref="A26:D26"/>
    <mergeCell ref="A21:D21"/>
    <mergeCell ref="A30:D30"/>
    <mergeCell ref="A29:D29"/>
    <mergeCell ref="A25:D25"/>
    <mergeCell ref="A24:D24"/>
    <mergeCell ref="A28:D28"/>
    <mergeCell ref="A32:D32"/>
  </mergeCells>
  <pageMargins left="0.75" right="0.75" top="1" bottom="1" header="0.5" footer="0.5"/>
  <pageSetup orientation="landscape" fitToHeight="0" fitToWidth="1"/>
  <headerFooter>
    <oddHeader>&amp;C[TEAM NAME] | FTAI Aviation (NASDAQ: FTAI) | SHORT | 12-mo PT ~$145</oddHeader>
    <oddFooter>&amp;LPage &amp;P of &amp;N&amp;R&amp;A</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2026-10-06T23:35:06Z</dcterms:created>
  <dcterms:modified xsi:type="dcterms:W3CDTF">2026-10-06T23:35:07Z</dcterms:modified>
</cp:coreProperties>
</file>