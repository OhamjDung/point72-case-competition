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643c61c85c4f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stment Summary" sheetId="1" r:id="R0432e99efd364d85"/>
    <x:sheet xmlns:r="http://schemas.openxmlformats.org/officeDocument/2006/relationships" name="Model Control Panel" sheetId="2" r:id="R033c6cf136e1471e"/>
    <x:sheet xmlns:r="http://schemas.openxmlformats.org/officeDocument/2006/relationships" name="Historical Financials" sheetId="3" r:id="Rc0a3b52ed8f44542"/>
    <x:sheet xmlns:r="http://schemas.openxmlformats.org/officeDocument/2006/relationships" name="Historical Segment Recon" sheetId="4" r:id="R2c62e38fed8b4af2"/>
    <x:sheet xmlns:r="http://schemas.openxmlformats.org/officeDocument/2006/relationships" name="Assumptions &amp; Sources" sheetId="5" r:id="Rccb72bb1d4804080"/>
    <x:sheet xmlns:r="http://schemas.openxmlformats.org/officeDocument/2006/relationships" name="Legacy DICK'S Operating Model" sheetId="6" r:id="R73131697ccc148a4"/>
    <x:sheet xmlns:r="http://schemas.openxmlformats.org/officeDocument/2006/relationships" name="Foot Locker Operating Model" sheetId="7" r:id="Rd24e3e0655d44562"/>
    <x:sheet xmlns:r="http://schemas.openxmlformats.org/officeDocument/2006/relationships" name="Foot Locker Store Cohorts" sheetId="8" r:id="R90c0267df1dc49da"/>
    <x:sheet xmlns:r="http://schemas.openxmlformats.org/officeDocument/2006/relationships" name="Acquisition &amp; Synergy" sheetId="9" r:id="Rd2c4fb5e3547483f"/>
    <x:sheet xmlns:r="http://schemas.openxmlformats.org/officeDocument/2006/relationships" name="Consolidated Income Statement" sheetId="10" r:id="R1cfea84cd1c2425c"/>
    <x:sheet xmlns:r="http://schemas.openxmlformats.org/officeDocument/2006/relationships" name="Working Capital Schedule" sheetId="11" r:id="Rf918a22dfcd94baa"/>
    <x:sheet xmlns:r="http://schemas.openxmlformats.org/officeDocument/2006/relationships" name="Capex &amp; Depreciation" sheetId="12" r:id="Rc25284e789f84720"/>
    <x:sheet xmlns:r="http://schemas.openxmlformats.org/officeDocument/2006/relationships" name="Debt Interest Lease" sheetId="13" r:id="R9742d3a35db74ea4"/>
    <x:sheet xmlns:r="http://schemas.openxmlformats.org/officeDocument/2006/relationships" name="Share Count Capital Alloc" sheetId="14" r:id="R909a4bd0fada43f7"/>
    <x:sheet xmlns:r="http://schemas.openxmlformats.org/officeDocument/2006/relationships" name="Consolidated Balance Sheet" sheetId="15" r:id="R3cba805dd1b64933"/>
    <x:sheet xmlns:r="http://schemas.openxmlformats.org/officeDocument/2006/relationships" name="Consolidated Cash Flow" sheetId="16" r:id="R639f42b99c76458f"/>
    <x:sheet xmlns:r="http://schemas.openxmlformats.org/officeDocument/2006/relationships" name="Financial Ratios &amp; ROIC" sheetId="17" r:id="Rd6345fb3f4ce4c53"/>
    <x:sheet xmlns:r="http://schemas.openxmlformats.org/officeDocument/2006/relationships" name="Wall Street Consensus" sheetId="18" r:id="R6bd2f8b977824f4a"/>
    <x:sheet xmlns:r="http://schemas.openxmlformats.org/officeDocument/2006/relationships" name="Consensus Variant Bridge" sheetId="19" r:id="R373952e7c7a34dea"/>
    <x:sheet xmlns:r="http://schemas.openxmlformats.org/officeDocument/2006/relationships" name="Valuation Bridge" sheetId="20" r:id="Rc2aef1f0e94641ff"/>
    <x:sheet xmlns:r="http://schemas.openxmlformats.org/officeDocument/2006/relationships" name="Discounted Cash Flow" sheetId="21" r:id="Ra52961d86e6c4c81"/>
    <x:sheet xmlns:r="http://schemas.openxmlformats.org/officeDocument/2006/relationships" name="SOTP Valuation" sheetId="22" r:id="R64abccfa4aec401a"/>
    <x:sheet xmlns:r="http://schemas.openxmlformats.org/officeDocument/2006/relationships" name="Relative Valuation" sheetId="23" r:id="R09c8555cb80c446d"/>
    <x:sheet xmlns:r="http://schemas.openxmlformats.org/officeDocument/2006/relationships" name="Reverse DCF" sheetId="24" r:id="Rb8a12bf6d744458c"/>
    <x:sheet xmlns:r="http://schemas.openxmlformats.org/officeDocument/2006/relationships" name="Scenarios &amp; Sensitivities" sheetId="25" r:id="R0a531f79da184e30"/>
    <x:sheet xmlns:r="http://schemas.openxmlformats.org/officeDocument/2006/relationships" name="Probabilistic Valuation" sheetId="26" r:id="Ra57e84229c1141f6"/>
    <x:sheet xmlns:r="http://schemas.openxmlformats.org/officeDocument/2006/relationships" name="Alternative Data &amp; Backtesting" sheetId="27" r:id="Recd2b5ae6bd84e77"/>
    <x:sheet xmlns:r="http://schemas.openxmlformats.org/officeDocument/2006/relationships" name="Thesis Catalysts Monitoring" sheetId="28" r:id="R05ac724064934893"/>
    <x:sheet xmlns:r="http://schemas.openxmlformats.org/officeDocument/2006/relationships" name="Forecast Variance Analysis" sheetId="29" r:id="Rb5104f296b6c4a86"/>
    <x:sheet xmlns:r="http://schemas.openxmlformats.org/officeDocument/2006/relationships" name="Model Audit &amp; Quality Checks" sheetId="30" r:id="Re61721873a0d4a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%;(0.0%);-"/>
    <x:numFmt numFmtId="201" formatCode="$0.00;($0.00);-"/>
    <x:numFmt numFmtId="202" formatCode="#,##0.0"/>
    <x:numFmt numFmtId="203" formatCode="$#,##0.0;($#,##0.0);-"/>
    <x:numFmt numFmtId="204" formatCode="0.00x"/>
    <x:numFmt numFmtId="205" formatCode="yyyy-mm-dd"/>
    <x:numFmt numFmtId="206" formatCode="#,##0.0;(#,##0.0);-"/>
    <x:numFmt numFmtId="207" formatCode="0.00"/>
  </x:numFmts>
  <x:fonts count="18">
    <x:font>
      <x:sz val="11"/>
      <x:name val="Carlito"/>
    </x:font>
    <x:font>
      <x:b/>
      <x:sz val="14"/>
      <x:color rgb="FF17365D"/>
      <x:name val="Arial"/>
    </x:font>
    <x:font>
      <x:i/>
      <x:sz val="9"/>
      <x:color rgb="FF666666"/>
      <x:name val="Arial"/>
    </x:font>
    <x:font>
      <x:b/>
      <x:sz val="10"/>
      <x:color rgb="FF17365D"/>
      <x:name val="Arial"/>
    </x:font>
    <x:font>
      <x:sz val="11"/>
      <x:color rgb="FF0000FF"/>
      <x:name val="Arial"/>
    </x:font>
    <x:font>
      <x:sz val="11"/>
      <x:color rgb="FF222222"/>
      <x:name val="Arial"/>
    </x:font>
    <x:font>
      <x:b/>
      <x:sz val="11"/>
      <x:color rgb="FF222222"/>
      <x:name val="Carlito"/>
    </x:font>
    <x:font>
      <x:sz val="11"/>
      <x:name val="Arial"/>
    </x:font>
    <x:font>
      <x:b/>
      <x:sz val="11"/>
      <x:color rgb="FF222222"/>
      <x:name val="Arial"/>
    </x:font>
    <x:font>
      <x:i/>
      <x:sz val="10"/>
      <x:color rgb="FF666666"/>
      <x:name val="Arial"/>
    </x:font>
    <x:font>
      <x:sz val="10"/>
      <x:name val="Arial"/>
    </x:font>
    <x:font>
      <x:sz val="10"/>
      <x:color rgb="FF0000FF"/>
      <x:name val="Arial"/>
    </x:font>
    <x:font>
      <x:sz val="10"/>
      <x:color rgb="FF222222"/>
      <x:name val="Arial"/>
    </x:font>
    <x:font>
      <x:b/>
      <x:sz val="10"/>
      <x:color rgb="FF222222"/>
      <x:name val="Arial"/>
    </x:font>
    <x:font>
      <x:b/>
      <x:sz val="10"/>
      <x:color rgb="FFFFFFFF"/>
      <x:name val="Arial"/>
    </x:font>
    <x:font>
      <x:b/>
      <x:sz val="10"/>
      <x:color rgb="FF008000"/>
      <x:name val="Arial"/>
    </x:font>
    <x:font>
      <x:sz val="11"/>
      <x:color rgb="FF008000"/>
      <x:name val="Arial"/>
    </x:font>
    <x:font>
      <x:sz val="10"/>
      <x:color rgb="FF008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4472C4"/>
      </x:bottom>
      <x:diagonal/>
    </x:border>
    <x:border>
      <x:left style="thin">
        <x:color rgb="FF4472C4"/>
      </x:left>
      <x:right style="thin">
        <x:color rgb="FF4472C4"/>
      </x:right>
      <x:top style="thin">
        <x:color rgb="FF4472C4"/>
      </x:top>
      <x:bottom/>
      <x:diagonal/>
    </x:border>
    <x:border>
      <x:left style="thin">
        <x:color rgb="FF4472C4"/>
      </x:left>
      <x:right style="thin">
        <x:color rgb="FF4472C4"/>
      </x:right>
      <x:top/>
      <x:bottom/>
      <x:diagonal/>
    </x:border>
    <x:border>
      <x:left style="thin">
        <x:color rgb="FF4472C4"/>
      </x:left>
      <x:right style="thin">
        <x:color rgb="FF4472C4"/>
      </x:right>
      <x:top/>
      <x:bottom style="thin">
        <x:color rgb="FF4472C4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 style="thin">
        <x:color rgb="FF4472C4"/>
      </x:left>
      <x:right/>
      <x:top style="thin">
        <x:color rgb="FF4472C4"/>
      </x:top>
      <x:bottom style="thin">
        <x:color rgb="FF4472C4"/>
      </x:bottom>
      <x:diagonal/>
    </x:border>
    <x:border>
      <x:left/>
      <x:right/>
      <x:top style="thin">
        <x:color rgb="FF4472C4"/>
      </x:top>
      <x:bottom style="thin">
        <x:color rgb="FF4472C4"/>
      </x:bottom>
      <x:diagonal/>
    </x:border>
    <x:border>
      <x:left/>
      <x:right style="thin">
        <x:color rgb="FF4472C4"/>
      </x:right>
      <x:top style="thin">
        <x:color rgb="FF4472C4"/>
      </x:top>
      <x:bottom style="thin">
        <x:color rgb="FF4472C4"/>
      </x:bottom>
      <x:diagonal/>
    </x:border>
    <x:border>
      <x:left style="thin">
        <x:color rgb="FF4472C4"/>
      </x:left>
      <x:right style="thin">
        <x:color rgb="FF4472C4"/>
      </x:right>
      <x:top style="thin">
        <x:color rgb="FF4472C4"/>
      </x:top>
      <x:bottom style="thin">
        <x:color rgb="FF4472C4"/>
      </x:bottom>
      <x:diagonal/>
    </x:border>
  </x:borders>
  <x:cellStyleXfs count="1">
    <x:xf numFmtId="0" fontId="0" fillId="0" borderId="0"/>
  </x:cellStyleXfs>
  <x:cellXfs count="180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5" fillId="3" borderId="0" xfId="0" applyNumberFormat="1" applyFont="1" applyFill="1" applyBorder="1"/>
    <x:xf numFmtId="200" fontId="5" fillId="3" borderId="0" xfId="0" applyNumberFormat="1" applyFont="1" applyFill="1" applyBorder="1"/>
    <x:xf numFmtId="201" fontId="4" fillId="3" borderId="0" xfId="0" applyNumberFormat="1" applyFont="1" applyFill="1" applyBorder="1"/>
    <x:xf numFmtId="202" fontId="4" fillId="3" borderId="0" xfId="0" applyNumberFormat="1" applyFont="1" applyFill="1" applyBorder="1"/>
    <x:xf numFmtId="203" fontId="4" fillId="3" borderId="0" xfId="0" applyNumberFormat="1" applyFont="1" applyFill="1" applyBorder="1"/>
    <x:xf numFmtId="200" fontId="4" fillId="3" borderId="0" xfId="0" applyNumberFormat="1" applyFont="1" applyFill="1" applyBorder="1"/>
    <x:xf numFmtId="204" fontId="4" fillId="3" borderId="0" xfId="0" applyNumberFormat="1" applyFont="1" applyFill="1" applyBorder="1"/>
    <x:xf numFmtId="205" fontId="4" fillId="3" borderId="0" xfId="0" applyNumberFormat="1" applyFont="1" applyFill="1" applyBorder="1"/>
    <x:xf numFmtId="0" fontId="6" fillId="3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0" xfId="0" applyNumberFormat="1" applyFont="1" applyFill="1" applyBorder="1"/>
    <x:xf numFmtId="0" fontId="8" fillId="3" borderId="0" xfId="0" applyNumberFormat="1" applyFont="1" applyFill="1" applyBorder="1"/>
    <x:xf numFmtId="0" fontId="3" fillId="0" borderId="0" xfId="0" applyNumberFormat="1" applyFont="1" applyFill="1" applyBorder="1"/>
    <x:xf numFmtId="0" fontId="9" fillId="0" borderId="1" xfId="0" applyNumberFormat="1" applyFont="1" applyFill="1" applyBorder="1"/>
    <x:xf numFmtId="0" fontId="10" fillId="0" borderId="1" xfId="0" applyNumberFormat="1" applyFont="1" applyFill="1" applyBorder="1"/>
    <x:xf numFmtId="0" fontId="10" fillId="0" borderId="0" xfId="0" applyNumberFormat="1" applyFont="1" applyFill="1" applyBorder="1"/>
    <x:xf numFmtId="0" fontId="11" fillId="3" borderId="0" xfId="0" applyNumberFormat="1" applyFont="1" applyFill="1" applyBorder="1"/>
    <x:xf numFmtId="205" fontId="11" fillId="3" borderId="0" xfId="0" applyNumberFormat="1" applyFont="1" applyFill="1" applyBorder="1"/>
    <x:xf numFmtId="201" fontId="11" fillId="3" borderId="0" xfId="0" applyNumberFormat="1" applyFont="1" applyFill="1" applyBorder="1"/>
    <x:xf numFmtId="202" fontId="11" fillId="3" borderId="0" xfId="0" applyNumberFormat="1" applyFont="1" applyFill="1" applyBorder="1"/>
    <x:xf numFmtId="203" fontId="11" fillId="3" borderId="0" xfId="0" applyNumberFormat="1" applyFont="1" applyFill="1" applyBorder="1"/>
    <x:xf numFmtId="200" fontId="11" fillId="3" borderId="0" xfId="0" applyNumberFormat="1" applyFont="1" applyFill="1" applyBorder="1"/>
    <x:xf numFmtId="204" fontId="11" fillId="3" borderId="0" xfId="0" applyNumberFormat="1" applyFont="1" applyFill="1" applyBorder="1"/>
    <x:xf numFmtId="200" fontId="12" fillId="3" borderId="0" xfId="0" applyNumberFormat="1" applyFont="1" applyFill="1" applyBorder="1"/>
    <x:xf numFmtId="0" fontId="13" fillId="3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  <x:xf numFmtId="0" fontId="10" fillId="0" borderId="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205" fontId="11" fillId="3" borderId="0" xfId="0" applyNumberFormat="1" applyFont="1" applyFill="1" applyBorder="1" applyAlignment="1">
      <x:alignment vertical="center"/>
    </x:xf>
    <x:xf numFmtId="201" fontId="11" fillId="3" borderId="0" xfId="0" applyNumberFormat="1" applyFont="1" applyFill="1" applyBorder="1" applyAlignment="1">
      <x:alignment vertical="center"/>
    </x:xf>
    <x:xf numFmtId="202" fontId="11" fillId="3" borderId="0" xfId="0" applyNumberFormat="1" applyFont="1" applyFill="1" applyBorder="1" applyAlignment="1">
      <x:alignment vertical="center"/>
    </x:xf>
    <x:xf numFmtId="203" fontId="11" fillId="3" borderId="0" xfId="0" applyNumberFormat="1" applyFont="1" applyFill="1" applyBorder="1" applyAlignment="1">
      <x:alignment vertical="center"/>
    </x:xf>
    <x:xf numFmtId="200" fontId="11" fillId="3" borderId="0" xfId="0" applyNumberFormat="1" applyFont="1" applyFill="1" applyBorder="1" applyAlignment="1">
      <x:alignment vertical="center"/>
    </x:xf>
    <x:xf numFmtId="204" fontId="11" fillId="3" borderId="0" xfId="0" applyNumberFormat="1" applyFont="1" applyFill="1" applyBorder="1" applyAlignment="1">
      <x:alignment vertical="center"/>
    </x:xf>
    <x:xf numFmtId="200" fontId="12" fillId="3" borderId="0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1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4" fillId="4" borderId="0" xfId="0" applyNumberFormat="1" applyFont="1" applyFill="1" applyBorder="1"/>
    <x:xf numFmtId="0" fontId="14" fillId="4" borderId="5" xfId="0" applyNumberFormat="1" applyFont="1" applyFill="1" applyBorder="1"/>
    <x:xf numFmtId="0" fontId="14" fillId="4" borderId="6" xfId="0" applyNumberFormat="1" applyFont="1" applyFill="1" applyBorder="1"/>
    <x:xf numFmtId="0" fontId="14" fillId="4" borderId="7" xfId="0" applyNumberFormat="1" applyFont="1" applyFill="1" applyBorder="1"/>
    <x:xf numFmtId="0" fontId="14" fillId="4" borderId="5" xfId="0" applyNumberFormat="1" applyFont="1" applyFill="1" applyBorder="1" applyAlignment="1">
      <x:alignment horizontal="center"/>
    </x:xf>
    <x:xf numFmtId="0" fontId="14" fillId="4" borderId="6" xfId="0" applyNumberFormat="1" applyFont="1" applyFill="1" applyBorder="1" applyAlignment="1">
      <x:alignment horizontal="center"/>
    </x:xf>
    <x:xf numFmtId="0" fontId="14" fillId="4" borderId="7" xfId="0" applyNumberFormat="1" applyFont="1" applyFill="1" applyBorder="1" applyAlignment="1">
      <x:alignment horizontal="center"/>
    </x:xf>
    <x:xf numFmtId="0" fontId="14" fillId="4" borderId="5" xfId="0" applyNumberFormat="1" applyFont="1" applyFill="1" applyBorder="1" applyAlignment="1">
      <x:alignment horizontal="center" vertical="center"/>
    </x:xf>
    <x:xf numFmtId="0" fontId="14" fillId="4" borderId="6" xfId="0" applyNumberFormat="1" applyFont="1" applyFill="1" applyBorder="1" applyAlignment="1">
      <x:alignment horizontal="center" vertical="center"/>
    </x:xf>
    <x:xf numFmtId="0" fontId="14" fillId="4" borderId="7" xfId="0" applyNumberFormat="1" applyFont="1" applyFill="1" applyBorder="1" applyAlignment="1">
      <x:alignment horizontal="center" vertical="center"/>
    </x:xf>
    <x:xf numFmtId="0" fontId="3" fillId="2" borderId="8" xfId="0" applyNumberFormat="1" applyFont="1" applyFill="1" applyBorder="1"/>
    <x:xf numFmtId="0" fontId="3" fillId="2" borderId="9" xfId="0" applyNumberFormat="1" applyFont="1" applyFill="1" applyBorder="1"/>
    <x:xf numFmtId="0" fontId="3" fillId="2" borderId="10" xfId="0" applyNumberFormat="1" applyFont="1" applyFill="1" applyBorder="1"/>
    <x:xf numFmtId="0" fontId="15" fillId="2" borderId="9" xfId="0" applyNumberFormat="1" applyFont="1" applyFill="1" applyBorder="1"/>
    <x:xf numFmtId="0" fontId="15" fillId="2" borderId="10" xfId="0" applyNumberFormat="1" applyFont="1" applyFill="1" applyBorder="1"/>
    <x:xf numFmtId="200" fontId="15" fillId="2" borderId="9" xfId="0" applyNumberFormat="1" applyFont="1" applyFill="1" applyBorder="1"/>
    <x:xf numFmtId="200" fontId="15" fillId="2" borderId="10" xfId="0" applyNumberFormat="1" applyFont="1" applyFill="1" applyBorder="1"/>
    <x:xf numFmtId="206" fontId="15" fillId="2" borderId="9" xfId="0" applyNumberFormat="1" applyFont="1" applyFill="1" applyBorder="1"/>
    <x:xf numFmtId="206" fontId="15" fillId="2" borderId="10" xfId="0" applyNumberFormat="1" applyFont="1" applyFill="1" applyBorder="1"/>
    <x:xf numFmtId="206" fontId="4" fillId="3" borderId="0" xfId="0" applyNumberFormat="1" applyFont="1" applyFill="1" applyBorder="1"/>
    <x:xf numFmtId="203" fontId="15" fillId="2" borderId="9" xfId="0" applyNumberFormat="1" applyFont="1" applyFill="1" applyBorder="1"/>
    <x:xf numFmtId="203" fontId="15" fillId="2" borderId="10" xfId="0" applyNumberFormat="1" applyFont="1" applyFill="1" applyBorder="1"/>
    <x:xf numFmtId="201" fontId="15" fillId="2" borderId="9" xfId="0" applyNumberFormat="1" applyFont="1" applyFill="1" applyBorder="1"/>
    <x:xf numFmtId="201" fontId="15" fillId="2" borderId="10" xfId="0" applyNumberFormat="1" applyFont="1" applyFill="1" applyBorder="1"/>
    <x:xf numFmtId="202" fontId="15" fillId="2" borderId="9" xfId="0" applyNumberFormat="1" applyFont="1" applyFill="1" applyBorder="1"/>
    <x:xf numFmtId="202" fontId="15" fillId="2" borderId="10" xfId="0" applyNumberFormat="1" applyFont="1" applyFill="1" applyBorder="1"/>
    <x:xf numFmtId="206" fontId="11" fillId="3" borderId="0" xfId="0" applyNumberFormat="1" applyFont="1" applyFill="1" applyBorder="1"/>
    <x:xf numFmtId="0" fontId="3" fillId="2" borderId="8" xfId="0" applyNumberFormat="1" applyFont="1" applyFill="1" applyBorder="1" applyAlignment="1">
      <x:alignment vertical="center"/>
    </x:xf>
    <x:xf numFmtId="200" fontId="15" fillId="2" borderId="9" xfId="0" applyNumberFormat="1" applyFont="1" applyFill="1" applyBorder="1" applyAlignment="1">
      <x:alignment vertical="center"/>
    </x:xf>
    <x:xf numFmtId="200" fontId="15" fillId="2" borderId="10" xfId="0" applyNumberFormat="1" applyFont="1" applyFill="1" applyBorder="1" applyAlignment="1">
      <x:alignment vertical="center"/>
    </x:xf>
    <x:xf numFmtId="206" fontId="15" fillId="2" borderId="9" xfId="0" applyNumberFormat="1" applyFont="1" applyFill="1" applyBorder="1" applyAlignment="1">
      <x:alignment vertical="center"/>
    </x:xf>
    <x:xf numFmtId="206" fontId="15" fillId="2" borderId="10" xfId="0" applyNumberFormat="1" applyFont="1" applyFill="1" applyBorder="1" applyAlignment="1">
      <x:alignment vertical="center"/>
    </x:xf>
    <x:xf numFmtId="206" fontId="11" fillId="3" borderId="0" xfId="0" applyNumberFormat="1" applyFont="1" applyFill="1" applyBorder="1" applyAlignment="1">
      <x:alignment vertical="center"/>
    </x:xf>
    <x:xf numFmtId="203" fontId="15" fillId="2" borderId="9" xfId="0" applyNumberFormat="1" applyFont="1" applyFill="1" applyBorder="1" applyAlignment="1">
      <x:alignment vertical="center"/>
    </x:xf>
    <x:xf numFmtId="203" fontId="15" fillId="2" borderId="10" xfId="0" applyNumberFormat="1" applyFont="1" applyFill="1" applyBorder="1" applyAlignment="1">
      <x:alignment vertical="center"/>
    </x:xf>
    <x:xf numFmtId="201" fontId="15" fillId="2" borderId="9" xfId="0" applyNumberFormat="1" applyFont="1" applyFill="1" applyBorder="1" applyAlignment="1">
      <x:alignment vertical="center"/>
    </x:xf>
    <x:xf numFmtId="201" fontId="15" fillId="2" borderId="10" xfId="0" applyNumberFormat="1" applyFont="1" applyFill="1" applyBorder="1" applyAlignment="1">
      <x:alignment vertical="center"/>
    </x:xf>
    <x:xf numFmtId="202" fontId="15" fillId="2" borderId="9" xfId="0" applyNumberFormat="1" applyFont="1" applyFill="1" applyBorder="1" applyAlignment="1">
      <x:alignment vertical="center"/>
    </x:xf>
    <x:xf numFmtId="202" fontId="15" fillId="2" borderId="10" xfId="0" applyNumberFormat="1" applyFont="1" applyFill="1" applyBorder="1" applyAlignment="1">
      <x:alignment vertical="center"/>
    </x:xf>
    <x:xf numFmtId="0" fontId="3" fillId="2" borderId="9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206" fontId="5" fillId="3" borderId="0" xfId="0" applyNumberFormat="1" applyFont="1" applyFill="1" applyBorder="1"/>
    <x:xf numFmtId="206" fontId="5" fillId="0" borderId="0" xfId="0" applyNumberFormat="1" applyFont="1" applyFill="1" applyBorder="1"/>
    <x:xf numFmtId="206" fontId="16" fillId="0" borderId="0" xfId="0" applyNumberFormat="1" applyFont="1" applyFill="1" applyBorder="1"/>
    <x:xf numFmtId="200" fontId="16" fillId="0" borderId="0" xfId="0" applyNumberFormat="1" applyFont="1" applyFill="1" applyBorder="1"/>
    <x:xf numFmtId="206" fontId="5" fillId="2" borderId="0" xfId="0" applyNumberFormat="1" applyFont="1" applyFill="1" applyBorder="1"/>
    <x:xf numFmtId="206" fontId="3" fillId="2" borderId="0" xfId="0" applyNumberFormat="1" applyFont="1" applyFill="1" applyBorder="1"/>
    <x:xf numFmtId="206" fontId="3" fillId="2" borderId="9" xfId="0" applyNumberFormat="1" applyFont="1" applyFill="1" applyBorder="1"/>
    <x:xf numFmtId="206" fontId="3" fillId="2" borderId="10" xfId="0" applyNumberFormat="1" applyFont="1" applyFill="1" applyBorder="1"/>
    <x:xf numFmtId="206" fontId="12" fillId="0" borderId="0" xfId="0" applyNumberFormat="1" applyFont="1" applyFill="1" applyBorder="1"/>
    <x:xf numFmtId="206" fontId="12" fillId="3" borderId="0" xfId="0" applyNumberFormat="1" applyFont="1" applyFill="1" applyBorder="1"/>
    <x:xf numFmtId="200" fontId="17" fillId="0" borderId="0" xfId="0" applyNumberFormat="1" applyFont="1" applyFill="1" applyBorder="1"/>
    <x:xf numFmtId="206" fontId="12" fillId="0" borderId="0" xfId="0" applyNumberFormat="1" applyFont="1" applyFill="1" applyBorder="1" applyAlignment="1">
      <x:alignment vertical="center"/>
    </x:xf>
    <x:xf numFmtId="206" fontId="12" fillId="3" borderId="0" xfId="0" applyNumberFormat="1" applyFont="1" applyFill="1" applyBorder="1" applyAlignment="1">
      <x:alignment vertical="center"/>
    </x:xf>
    <x:xf numFmtId="200" fontId="17" fillId="0" borderId="0" xfId="0" applyNumberFormat="1" applyFont="1" applyFill="1" applyBorder="1" applyAlignment="1">
      <x:alignment vertical="center"/>
    </x:xf>
    <x:xf numFmtId="206" fontId="3" fillId="2" borderId="9" xfId="0" applyNumberFormat="1" applyFont="1" applyFill="1" applyBorder="1" applyAlignment="1">
      <x:alignment vertical="center"/>
    </x:xf>
    <x:xf numFmtId="206" fontId="3" fillId="2" borderId="10" xfId="0" applyNumberFormat="1" applyFont="1" applyFill="1" applyBorder="1" applyAlignment="1">
      <x:alignment vertical="center"/>
    </x:xf>
    <x:xf numFmtId="0" fontId="13" fillId="2" borderId="9" xfId="0" applyNumberFormat="1" applyFont="1" applyFill="1" applyBorder="1"/>
    <x:xf numFmtId="0" fontId="13" fillId="2" borderId="10" xfId="0" applyNumberFormat="1" applyFont="1" applyFill="1" applyBorder="1"/>
    <x:xf numFmtId="206" fontId="13" fillId="2" borderId="9" xfId="0" applyNumberFormat="1" applyFont="1" applyFill="1" applyBorder="1"/>
    <x:xf numFmtId="206" fontId="13" fillId="2" borderId="10" xfId="0" applyNumberFormat="1" applyFont="1" applyFill="1" applyBorder="1"/>
    <x:xf numFmtId="206" fontId="13" fillId="2" borderId="9" xfId="0" applyNumberFormat="1" applyFont="1" applyFill="1" applyBorder="1" applyAlignment="1">
      <x:alignment vertical="center"/>
    </x:xf>
    <x:xf numFmtId="206" fontId="13" fillId="2" borderId="1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0" xfId="0" applyNumberFormat="1" applyFont="1" applyFill="1" applyBorder="1"/>
    <x:xf numFmtId="203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0" fillId="0" borderId="0" xfId="0" applyNumberFormat="1" applyFont="1" applyFill="1" applyBorder="1"/>
    <x:xf numFmtId="0" fontId="1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1" fontId="5" fillId="0" borderId="0" xfId="0" applyNumberFormat="1" applyFont="1" applyFill="1" applyBorder="1"/>
    <x:xf numFmtId="203" fontId="5" fillId="2" borderId="0" xfId="0" applyNumberFormat="1" applyFont="1" applyFill="1" applyBorder="1"/>
    <x:xf numFmtId="203" fontId="3" fillId="2" borderId="0" xfId="0" applyNumberFormat="1" applyFont="1" applyFill="1" applyBorder="1"/>
    <x:xf numFmtId="203" fontId="3" fillId="2" borderId="9" xfId="0" applyNumberFormat="1" applyFont="1" applyFill="1" applyBorder="1"/>
    <x:xf numFmtId="203" fontId="3" fillId="2" borderId="10" xfId="0" applyNumberFormat="1" applyFont="1" applyFill="1" applyBorder="1"/>
    <x:xf numFmtId="203" fontId="12" fillId="0" borderId="0" xfId="0" applyNumberFormat="1" applyFont="1" applyFill="1" applyBorder="1"/>
    <x:xf numFmtId="200" fontId="12" fillId="0" borderId="0" xfId="0" applyNumberFormat="1" applyFont="1" applyFill="1" applyBorder="1"/>
    <x:xf numFmtId="202" fontId="12" fillId="0" borderId="0" xfId="0" applyNumberFormat="1" applyFont="1" applyFill="1" applyBorder="1"/>
    <x:xf numFmtId="201" fontId="12" fillId="0" borderId="0" xfId="0" applyNumberFormat="1" applyFont="1" applyFill="1" applyBorder="1"/>
    <x:xf numFmtId="203" fontId="12" fillId="0" borderId="0" xfId="0" applyNumberFormat="1" applyFont="1" applyFill="1" applyBorder="1" applyAlignment="1">
      <x:alignment vertical="center"/>
    </x:xf>
    <x:xf numFmtId="203" fontId="3" fillId="2" borderId="9" xfId="0" applyNumberFormat="1" applyFont="1" applyFill="1" applyBorder="1" applyAlignment="1">
      <x:alignment vertical="center"/>
    </x:xf>
    <x:xf numFmtId="203" fontId="3" fillId="2" borderId="10" xfId="0" applyNumberFormat="1" applyFont="1" applyFill="1" applyBorder="1" applyAlignment="1">
      <x:alignment vertical="center"/>
    </x:xf>
    <x:xf numFmtId="200" fontId="12" fillId="0" borderId="0" xfId="0" applyNumberFormat="1" applyFont="1" applyFill="1" applyBorder="1" applyAlignment="1">
      <x:alignment vertical="center"/>
    </x:xf>
    <x:xf numFmtId="202" fontId="12" fillId="0" borderId="0" xfId="0" applyNumberFormat="1" applyFont="1" applyFill="1" applyBorder="1" applyAlignment="1">
      <x:alignment vertical="center"/>
    </x:xf>
    <x:xf numFmtId="201" fontId="12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/>
    <x:xf numFmtId="203" fontId="13" fillId="2" borderId="9" xfId="0" applyNumberFormat="1" applyFont="1" applyFill="1" applyBorder="1"/>
    <x:xf numFmtId="203" fontId="13" fillId="2" borderId="10" xfId="0" applyNumberFormat="1" applyFont="1" applyFill="1" applyBorder="1"/>
    <x:xf numFmtId="203" fontId="13" fillId="2" borderId="9" xfId="0" applyNumberFormat="1" applyFont="1" applyFill="1" applyBorder="1" applyAlignment="1">
      <x:alignment vertical="center"/>
    </x:xf>
    <x:xf numFmtId="203" fontId="13" fillId="2" borderId="1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2" borderId="11" xfId="0" applyNumberFormat="1" applyFont="1" applyFill="1" applyBorder="1"/>
    <x:xf numFmtId="201" fontId="0" fillId="2" borderId="0" xfId="0" applyNumberFormat="1" applyFont="1" applyFill="1" applyBorder="1"/>
    <x:xf numFmtId="201" fontId="3" fillId="2" borderId="0" xfId="0" applyNumberFormat="1" applyFont="1" applyFill="1" applyBorder="1"/>
    <x:xf numFmtId="201" fontId="3" fillId="2" borderId="10" xfId="0" applyNumberFormat="1" applyFont="1" applyFill="1" applyBorder="1"/>
    <x:xf numFmtId="200" fontId="0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5" fontId="7" fillId="0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205" fontId="10" fillId="0" borderId="0" xfId="0" applyNumberFormat="1" applyFont="1" applyFill="1" applyBorder="1"/>
    <x:xf numFmtId="200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0" fontId="3" fillId="2" borderId="11" xfId="0" applyNumberFormat="1" applyFont="1" applyFill="1" applyBorder="1" applyAlignment="1">
      <x:alignment vertical="center"/>
    </x:xf>
    <x:xf numFmtId="201" fontId="3" fillId="2" borderId="10" xfId="0" applyNumberFormat="1" applyFont="1" applyFill="1" applyBorder="1" applyAlignment="1">
      <x:alignment vertical="center"/>
    </x:xf>
    <x:xf numFmtId="203" fontId="0" fillId="2" borderId="0" xfId="0" applyNumberFormat="1" applyFont="1" applyFill="1" applyBorder="1"/>
    <x:xf numFmtId="201" fontId="3" fillId="2" borderId="9" xfId="0" applyNumberFormat="1" applyFont="1" applyFill="1" applyBorder="1"/>
    <x:xf numFmtId="201" fontId="3" fillId="2" borderId="9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/>
    <x:xf numFmtId="0" fontId="17" fillId="0" borderId="0" xfId="0" applyNumberFormat="1" applyFont="1" applyFill="1" applyBorder="1"/>
    <x:xf numFmtId="201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vertical="center"/>
    </x:xf>
    <x:xf numFmtId="201" fontId="17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  <x:xf numFmtId="207" fontId="7" fillId="0" borderId="0" xfId="0" applyNumberFormat="1" applyFont="1" applyFill="1" applyBorder="1"/>
    <x:xf numFmtId="207" fontId="10" fillId="0" borderId="0" xfId="0" applyNumberFormat="1" applyFont="1" applyFill="1" applyBorder="1"/>
    <x:xf numFmtId="207" fontId="1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22222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4c8b3b7a5848fe" /><Relationship Type="http://schemas.openxmlformats.org/officeDocument/2006/relationships/theme" Target="/xl/theme/theme1.xml" Id="R2b7ed3d58d464b8b" /><Relationship Type="http://schemas.microsoft.com/office/2022/11/relationships/FeaturePropertyBag" Target="/xl/featurePropertyBag/featurePropertyBag.xml" Id="R00a0a2f24a2a49e0" /><Relationship Type="http://schemas.openxmlformats.org/officeDocument/2006/relationships/sharedStrings" Target="/xl/sharedStrings.xml" Id="R51f03431f1c94647" /><Relationship Type="http://schemas.openxmlformats.org/officeDocument/2006/relationships/worksheet" Target="/xl/worksheets/sheet1.xml" Id="R0432e99efd364d85" /><Relationship Type="http://schemas.openxmlformats.org/officeDocument/2006/relationships/worksheet" Target="/xl/worksheets/sheet2.xml" Id="R033c6cf136e1471e" /><Relationship Type="http://schemas.openxmlformats.org/officeDocument/2006/relationships/worksheet" Target="/xl/worksheets/sheet3.xml" Id="Rc0a3b52ed8f44542" /><Relationship Type="http://schemas.openxmlformats.org/officeDocument/2006/relationships/worksheet" Target="/xl/worksheets/sheet4.xml" Id="R2c62e38fed8b4af2" /><Relationship Type="http://schemas.openxmlformats.org/officeDocument/2006/relationships/worksheet" Target="/xl/worksheets/sheet5.xml" Id="Rccb72bb1d4804080" /><Relationship Type="http://schemas.openxmlformats.org/officeDocument/2006/relationships/worksheet" Target="/xl/worksheets/sheet6.xml" Id="R73131697ccc148a4" /><Relationship Type="http://schemas.openxmlformats.org/officeDocument/2006/relationships/worksheet" Target="/xl/worksheets/sheet7.xml" Id="Rd24e3e0655d44562" /><Relationship Type="http://schemas.openxmlformats.org/officeDocument/2006/relationships/worksheet" Target="/xl/worksheets/sheet8.xml" Id="R90c0267df1dc49da" /><Relationship Type="http://schemas.openxmlformats.org/officeDocument/2006/relationships/worksheet" Target="/xl/worksheets/sheet9.xml" Id="Rd2c4fb5e3547483f" /><Relationship Type="http://schemas.openxmlformats.org/officeDocument/2006/relationships/worksheet" Target="/xl/worksheets/sheet10.xml" Id="R1cfea84cd1c2425c" /><Relationship Type="http://schemas.openxmlformats.org/officeDocument/2006/relationships/worksheet" Target="/xl/worksheets/sheet11.xml" Id="Rf918a22dfcd94baa" /><Relationship Type="http://schemas.openxmlformats.org/officeDocument/2006/relationships/worksheet" Target="/xl/worksheets/sheet12.xml" Id="Rc25284e789f84720" /><Relationship Type="http://schemas.openxmlformats.org/officeDocument/2006/relationships/worksheet" Target="/xl/worksheets/sheet13.xml" Id="R9742d3a35db74ea4" /><Relationship Type="http://schemas.openxmlformats.org/officeDocument/2006/relationships/worksheet" Target="/xl/worksheets/sheet14.xml" Id="R909a4bd0fada43f7" /><Relationship Type="http://schemas.openxmlformats.org/officeDocument/2006/relationships/worksheet" Target="/xl/worksheets/sheet15.xml" Id="R3cba805dd1b64933" /><Relationship Type="http://schemas.openxmlformats.org/officeDocument/2006/relationships/worksheet" Target="/xl/worksheets/sheet16.xml" Id="R639f42b99c76458f" /><Relationship Type="http://schemas.openxmlformats.org/officeDocument/2006/relationships/worksheet" Target="/xl/worksheets/sheet17.xml" Id="Rd6345fb3f4ce4c53" /><Relationship Type="http://schemas.openxmlformats.org/officeDocument/2006/relationships/worksheet" Target="/xl/worksheets/sheet18.xml" Id="R6bd2f8b977824f4a" /><Relationship Type="http://schemas.openxmlformats.org/officeDocument/2006/relationships/worksheet" Target="/xl/worksheets/sheet19.xml" Id="R373952e7c7a34dea" /><Relationship Type="http://schemas.openxmlformats.org/officeDocument/2006/relationships/worksheet" Target="/xl/worksheets/sheet20.xml" Id="Rc2aef1f0e94641ff" /><Relationship Type="http://schemas.openxmlformats.org/officeDocument/2006/relationships/worksheet" Target="/xl/worksheets/sheet21.xml" Id="Ra52961d86e6c4c81" /><Relationship Type="http://schemas.openxmlformats.org/officeDocument/2006/relationships/worksheet" Target="/xl/worksheets/sheet22.xml" Id="R64abccfa4aec401a" /><Relationship Type="http://schemas.openxmlformats.org/officeDocument/2006/relationships/worksheet" Target="/xl/worksheets/sheet23.xml" Id="R09c8555cb80c446d" /><Relationship Type="http://schemas.openxmlformats.org/officeDocument/2006/relationships/worksheet" Target="/xl/worksheets/sheet24.xml" Id="Rb8a12bf6d744458c" /><Relationship Type="http://schemas.openxmlformats.org/officeDocument/2006/relationships/worksheet" Target="/xl/worksheets/sheet25.xml" Id="R0a531f79da184e30" /><Relationship Type="http://schemas.openxmlformats.org/officeDocument/2006/relationships/worksheet" Target="/xl/worksheets/sheet26.xml" Id="Ra57e84229c1141f6" /><Relationship Type="http://schemas.openxmlformats.org/officeDocument/2006/relationships/worksheet" Target="/xl/worksheets/sheet27.xml" Id="Recd2b5ae6bd84e77" /><Relationship Type="http://schemas.openxmlformats.org/officeDocument/2006/relationships/worksheet" Target="/xl/worksheets/sheet28.xml" Id="R05ac724064934893" /><Relationship Type="http://schemas.openxmlformats.org/officeDocument/2006/relationships/worksheet" Target="/xl/worksheets/sheet29.xml" Id="Rb5104f296b6c4a86" /><Relationship Type="http://schemas.openxmlformats.org/officeDocument/2006/relationships/worksheet" Target="/xl/worksheets/sheet30.xml" Id="Re61721873a0d4a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707f05226842c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Scenario DCF value per share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DCF value</c:v>
          </c:tx>
          <c:invertIfNegative val="0"/>
          <c:cat>
            <c:strRef>
              <c:f>'Investment Summary'!$H$6:$H$8</c:f>
              <c:strCache>
                <c:ptCount val="0"/>
              </c:strCache>
            </c:strRef>
          </c:cat>
          <c:val>
            <c:numRef>
              <c:f>'Investment Summary'!$I$6:$I$8</c:f>
              <c:numCache>
                <c:formatCode>$0.00;($0.00);-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707f05226842cc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0815b97d8d043c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31" hidden="0" customWidth="1"/>
    <x:col min="2" max="2" width="4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DICK'S Sporting Goods investment summary</x:v>
      </x:c>
      <x:c r="B2" s="36"/>
      <x:c r="C2" s="36"/>
      <x:c r="D2" s="36"/>
      <x:c r="E2" s="36"/>
      <x:c r="F2" s="36"/>
      <x:c r="G2" s="36"/>
      <x:c r="H2" s="36"/>
      <x:c r="I2" s="39"/>
    </x:row>
    <x:row r="3">
      <x:c r="A3" s="37" t="str">
        <x:v>Valuation date 2026-10-10; data cutoff 2026-10-10</x:v>
      </x:c>
      <x:c r="B3" s="38"/>
      <x:c r="C3" s="38"/>
      <x:c r="D3" s="38"/>
      <x:c r="E3" s="38"/>
      <x:c r="F3" s="38"/>
      <x:c r="G3" s="38"/>
      <x:c r="H3" s="38"/>
      <x:c r="I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</x:row>
    <x:row r="5">
      <x:c r="A5" s="40" t="str">
        <x:v>Model mode</x:v>
      </x:c>
      <x:c r="B5" s="39" t="str">
        <x:v>fixture</x:v>
      </x:c>
      <x:c r="C5" s="39"/>
      <x:c r="D5" s="60" t="str">
        <x:v>Scenario</x:v>
      </x:c>
      <x:c r="E5" s="61" t="str">
        <x:v>Probability</x:v>
      </x:c>
      <x:c r="F5" s="62" t="str">
        <x:v>DCF value</x:v>
      </x:c>
      <x:c r="G5" s="39"/>
      <x:c r="H5" s="60" t="str">
        <x:v>Scenario</x:v>
      </x:c>
      <x:c r="I5" s="62" t="str">
        <x:v>DCF value</x:v>
      </x:c>
    </x:row>
    <x:row r="6">
      <x:c r="A6" s="42" t="str">
        <x:v>Case selected</x:v>
      </x:c>
      <x:c r="B6" s="173" t="str">
        <x:f>'Model Control Panel'!$B$5</x:f>
        <x:v>base</x:v>
      </x:c>
      <x:c r="C6" s="39"/>
      <x:c r="D6" s="39" t="str">
        <x:v>base</x:v>
      </x:c>
      <x:c r="E6" s="162" t="n">
        <x:v>0.5</x:v>
      </x:c>
      <x:c r="F6" s="163" t="n">
        <x:v>262.56172740065347</x:v>
      </x:c>
      <x:c r="G6" s="39"/>
      <x:c r="H6" s="39" t="str">
        <x:v>base</x:v>
      </x:c>
      <x:c r="I6" s="163" t="n">
        <x:v>262.56172740065347</x:v>
      </x:c>
    </x:row>
    <x:row r="7">
      <x:c r="A7" s="42" t="str">
        <x:v>Reference share price</x:v>
      </x:c>
      <x:c r="B7" s="163" t="n">
        <x:v>136.65</x:v>
      </x:c>
      <x:c r="C7" s="39"/>
      <x:c r="D7" s="39" t="str">
        <x:v>bull</x:v>
      </x:c>
      <x:c r="E7" s="162" t="n">
        <x:v>0.25</x:v>
      </x:c>
      <x:c r="F7" s="163" t="n">
        <x:v>298.1384511596901</x:v>
      </x:c>
      <x:c r="G7" s="39"/>
      <x:c r="H7" s="39" t="str">
        <x:v>bull</x:v>
      </x:c>
      <x:c r="I7" s="163" t="n">
        <x:v>298.1384511596901</x:v>
      </x:c>
    </x:row>
    <x:row r="8">
      <x:c r="A8" s="42" t="str">
        <x:v>Selected-case DCF</x:v>
      </x:c>
      <x:c r="B8" s="174" t="n">
        <x:f>'Discounted Cash Flow'!$B$30</x:f>
        <x:v>262.56172740065347</x:v>
      </x:c>
      <x:c r="C8" s="39"/>
      <x:c r="D8" s="39" t="str">
        <x:v>bear</x:v>
      </x:c>
      <x:c r="E8" s="162" t="n">
        <x:v>0.25</x:v>
      </x:c>
      <x:c r="F8" s="163" t="n">
        <x:v>222.91143360974664</x:v>
      </x:c>
      <x:c r="G8" s="39"/>
      <x:c r="H8" s="39" t="str">
        <x:v>bear</x:v>
      </x:c>
      <x:c r="I8" s="163" t="n">
        <x:v>222.91143360974664</x:v>
      </x:c>
    </x:row>
    <x:row r="9">
      <x:c r="A9" s="42" t="str">
        <x:v>Scenario-weighted DCF</x:v>
      </x:c>
      <x:c r="B9" s="163" t="n">
        <x:v>261.5433348926859</x:v>
      </x:c>
      <x:c r="C9" s="39"/>
      <x:c r="D9" s="39"/>
      <x:c r="E9" s="39"/>
      <x:c r="F9" s="39"/>
      <x:c r="G9" s="39"/>
      <x:c r="H9" s="39"/>
      <x:c r="I9" s="39"/>
    </x:row>
    <x:row r="10">
      <x:c r="A10" s="42" t="str">
        <x:v>Expected return</x:v>
      </x:c>
      <x:c r="B10" s="162" t="n">
        <x:f>B9/B7-1</x:f>
        <x:v>0.9139651291085684</x:v>
      </x:c>
      <x:c r="C10" s="39"/>
      <x:c r="D10" s="39"/>
      <x:c r="E10" s="39"/>
      <x:c r="F10" s="39"/>
      <x:c r="G10" s="39"/>
      <x:c r="H10" s="39"/>
      <x:c r="I10" s="39"/>
    </x:row>
    <x:row r="11" ht="28" customHeight="1">
      <x:c r="A11" s="42" t="str">
        <x:v>Recommendation</x:v>
      </x:c>
      <x:c r="B11" s="175" t="str">
        <x:v>No Recommendation — Incomplete/Unreconciled</x:v>
      </x:c>
      <x:c r="C11" s="39"/>
      <x:c r="D11" s="39"/>
      <x:c r="E11" s="39"/>
      <x:c r="F11" s="39"/>
      <x:c r="G11" s="39"/>
      <x:c r="H11" s="39"/>
      <x:c r="I11" s="39"/>
    </x:row>
    <x:row r="12" ht="28" customHeight="1">
      <x:c r="A12" s="42" t="str">
        <x:v>Audit status</x:v>
      </x:c>
      <x:c r="B12" s="175" t="str">
        <x:v>BLOCKED</x:v>
      </x:c>
      <x:c r="C12" s="39"/>
      <x:c r="D12" s="39"/>
      <x:c r="E12" s="39"/>
      <x:c r="F12" s="39"/>
      <x:c r="G12" s="39"/>
      <x:c r="H12" s="39"/>
      <x:c r="I12" s="39"/>
    </x:row>
    <x:row r="13" ht="28" customHeight="1">
      <x:c r="A13" s="50" t="str">
        <x:v>Consensus</x:v>
      </x:c>
      <x:c r="B13" s="175" t="str">
        <x:v>BLOCKED — licensed source unavailable</x:v>
      </x:c>
      <x:c r="C13" s="39"/>
      <x:c r="D13" s="39"/>
      <x:c r="E13" s="39"/>
      <x:c r="F13" s="39"/>
      <x:c r="G13" s="39"/>
      <x:c r="H13" s="39"/>
      <x:c r="I13" s="39"/>
    </x:row>
  </x:sheetData>
  <x:pageMargins left="0.7" right="0.7" top="0.75" bottom="0.75" header="0.3" footer="0.3"/>
  <x:drawing xmlns:r="http://schemas.openxmlformats.org/officeDocument/2006/relationships" r:id="R60815b97d8d043c4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Model control panel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Editable cells are blue on amber. The active case drives one formula-linked build.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40" t="str">
        <x:v>Case Selected</x:v>
      </x:c>
      <x:c r="B5" s="41" t="str">
        <x:v>base</x:v>
      </x:c>
      <x:c r="C5" s="39"/>
      <x:c r="D5" s="39"/>
      <x:c r="E5" s="39"/>
      <x:c r="F5" s="39"/>
      <x:c r="G5" s="39"/>
      <x:c r="H5" s="39"/>
    </x:row>
    <x:row r="6">
      <x:c r="A6" s="42" t="str">
        <x:v>Model mode</x:v>
      </x:c>
      <x:c r="B6" s="41" t="str">
        <x:v>fixture</x:v>
      </x:c>
      <x:c r="C6" s="39"/>
      <x:c r="D6" s="39"/>
      <x:c r="E6" s="39"/>
      <x:c r="F6" s="39"/>
      <x:c r="G6" s="39"/>
      <x:c r="H6" s="39"/>
    </x:row>
    <x:row r="7">
      <x:c r="A7" s="42" t="str">
        <x:v>Schema version</x:v>
      </x:c>
      <x:c r="B7" s="41" t="str">
        <x:v>2.0</x:v>
      </x:c>
      <x:c r="C7" s="39"/>
      <x:c r="D7" s="39"/>
      <x:c r="E7" s="39"/>
      <x:c r="F7" s="39"/>
      <x:c r="G7" s="39"/>
      <x:c r="H7" s="39"/>
    </x:row>
    <x:row r="8">
      <x:c r="A8" s="42" t="str">
        <x:v>Valuation date</x:v>
      </x:c>
      <x:c r="B8" s="43" t="str">
        <x:v>2026-10-10</x:v>
      </x:c>
      <x:c r="C8" s="39"/>
      <x:c r="D8" s="39"/>
      <x:c r="E8" s="39"/>
      <x:c r="F8" s="39"/>
      <x:c r="G8" s="39"/>
      <x:c r="H8" s="39"/>
    </x:row>
    <x:row r="9">
      <x:c r="A9" s="42" t="str">
        <x:v>Data cutoff</x:v>
      </x:c>
      <x:c r="B9" s="43" t="str">
        <x:v>2026-10-10</x:v>
      </x:c>
      <x:c r="C9" s="39"/>
      <x:c r="D9" s="39"/>
      <x:c r="E9" s="39"/>
      <x:c r="F9" s="39"/>
      <x:c r="G9" s="39"/>
      <x:c r="H9" s="39"/>
    </x:row>
    <x:row r="10">
      <x:c r="A10" s="42" t="str">
        <x:v>Reference share price</x:v>
      </x:c>
      <x:c r="B10" s="44" t="n">
        <x:v>136.65</x:v>
      </x:c>
      <x:c r="C10" s="39"/>
      <x:c r="D10" s="39"/>
      <x:c r="E10" s="39"/>
      <x:c r="F10" s="39"/>
      <x:c r="G10" s="39"/>
      <x:c r="H10" s="39"/>
    </x:row>
    <x:row r="11">
      <x:c r="A11" s="42" t="str">
        <x:v>Current diluted shares</x:v>
      </x:c>
      <x:c r="B11" s="45" t="n">
        <x:v>86.5</x:v>
      </x:c>
      <x:c r="C11" s="39"/>
      <x:c r="D11" s="39"/>
      <x:c r="E11" s="39"/>
      <x:c r="F11" s="39"/>
      <x:c r="G11" s="39"/>
      <x:c r="H11" s="39"/>
    </x:row>
    <x:row r="12">
      <x:c r="A12" s="42" t="str">
        <x:v>Valuation-date cash</x:v>
      </x:c>
      <x:c r="B12" s="46" t="n">
        <x:v>1225</x:v>
      </x:c>
      <x:c r="C12" s="39"/>
      <x:c r="D12" s="39"/>
      <x:c r="E12" s="39"/>
      <x:c r="F12" s="39"/>
      <x:c r="G12" s="39"/>
      <x:c r="H12" s="39"/>
    </x:row>
    <x:row r="13">
      <x:c r="A13" s="42" t="str">
        <x:v>Valuation-date debt</x:v>
      </x:c>
      <x:c r="B13" s="46" t="n">
        <x:v>2400</x:v>
      </x:c>
      <x:c r="C13" s="39"/>
      <x:c r="D13" s="39"/>
      <x:c r="E13" s="39"/>
      <x:c r="F13" s="39"/>
      <x:c r="G13" s="39"/>
      <x:c r="H13" s="39"/>
    </x:row>
    <x:row r="14">
      <x:c r="A14" s="42" t="str">
        <x:v>Finance lease liabilities</x:v>
      </x:c>
      <x:c r="B14" s="46" t="n">
        <x:v>0</x:v>
      </x:c>
      <x:c r="C14" s="39"/>
      <x:c r="D14" s="39"/>
      <x:c r="E14" s="39"/>
      <x:c r="F14" s="39"/>
      <x:c r="G14" s="39"/>
      <x:c r="H14" s="39"/>
    </x:row>
    <x:row r="15">
      <x:c r="A15" s="42" t="str">
        <x:v>Nonoperating assets</x:v>
      </x:c>
      <x:c r="B15" s="46" t="n">
        <x:v>0</x:v>
      </x:c>
      <x:c r="C15" s="39"/>
      <x:c r="D15" s="39"/>
      <x:c r="E15" s="39"/>
      <x:c r="F15" s="39"/>
      <x:c r="G15" s="39"/>
      <x:c r="H15" s="39"/>
    </x:row>
    <x:row r="16">
      <x:c r="A16" s="42" t="str">
        <x:v>Other equity claims</x:v>
      </x:c>
      <x:c r="B16" s="46" t="n">
        <x:v>0</x:v>
      </x:c>
      <x:c r="C16" s="39"/>
      <x:c r="D16" s="39"/>
      <x:c r="E16" s="39"/>
      <x:c r="F16" s="39"/>
      <x:c r="G16" s="39"/>
      <x:c r="H16" s="39"/>
    </x:row>
    <x:row r="17">
      <x:c r="A17" s="42" t="str">
        <x:v>Minimum operating cash</x:v>
      </x:c>
      <x:c r="B17" s="46" t="n">
        <x:v>500</x:v>
      </x:c>
      <x:c r="C17" s="39"/>
      <x:c r="D17" s="39"/>
      <x:c r="E17" s="39"/>
      <x:c r="F17" s="39"/>
      <x:c r="G17" s="39"/>
      <x:c r="H17" s="39"/>
    </x:row>
    <x:row r="18">
      <x:c r="A18" s="42" t="str">
        <x:v>Revolver capacity</x:v>
      </x:c>
      <x:c r="B18" s="46" t="n">
        <x:v>0</x:v>
      </x:c>
      <x:c r="C18" s="39"/>
      <x:c r="D18" s="39"/>
      <x:c r="E18" s="39"/>
      <x:c r="F18" s="39"/>
      <x:c r="G18" s="39"/>
      <x:c r="H18" s="39"/>
    </x:row>
    <x:row r="19">
      <x:c r="A19" s="42" t="str">
        <x:v>Risk-free rate</x:v>
      </x:c>
      <x:c r="B19" s="47" t="n">
        <x:v>0.0524</x:v>
      </x:c>
      <x:c r="C19" s="39"/>
      <x:c r="D19" s="39"/>
      <x:c r="E19" s="39"/>
      <x:c r="F19" s="39"/>
      <x:c r="G19" s="39"/>
      <x:c r="H19" s="39"/>
    </x:row>
    <x:row r="20">
      <x:c r="A20" s="42" t="str">
        <x:v>Market risk premium</x:v>
      </x:c>
      <x:c r="B20" s="47" t="n">
        <x:v>0.052</x:v>
      </x:c>
      <x:c r="C20" s="39"/>
      <x:c r="D20" s="39"/>
      <x:c r="E20" s="39"/>
      <x:c r="F20" s="39"/>
      <x:c r="G20" s="39"/>
      <x:c r="H20" s="39"/>
    </x:row>
    <x:row r="21">
      <x:c r="A21" s="42" t="str">
        <x:v>Beta</x:v>
      </x:c>
      <x:c r="B21" s="48" t="n">
        <x:v>1</x:v>
      </x:c>
      <x:c r="C21" s="39"/>
      <x:c r="D21" s="39"/>
      <x:c r="E21" s="39"/>
      <x:c r="F21" s="39"/>
      <x:c r="G21" s="39"/>
      <x:c r="H21" s="39"/>
    </x:row>
    <x:row r="22">
      <x:c r="A22" s="42" t="str">
        <x:v>Pre-tax cost of debt</x:v>
      </x:c>
      <x:c r="B22" s="47" t="n">
        <x:v>0.052</x:v>
      </x:c>
      <x:c r="C22" s="39"/>
      <x:c r="D22" s="39"/>
      <x:c r="E22" s="39"/>
      <x:c r="F22" s="39"/>
      <x:c r="G22" s="39"/>
      <x:c r="H22" s="39"/>
    </x:row>
    <x:row r="23">
      <x:c r="A23" s="42" t="str">
        <x:v>Market value equity</x:v>
      </x:c>
      <x:c r="B23" s="46" t="n">
        <x:v>11820.225</x:v>
      </x:c>
      <x:c r="C23" s="39"/>
      <x:c r="D23" s="39"/>
      <x:c r="E23" s="39"/>
      <x:c r="F23" s="39"/>
      <x:c r="G23" s="39"/>
      <x:c r="H23" s="39"/>
    </x:row>
    <x:row r="24">
      <x:c r="A24" s="42" t="str">
        <x:v>Market value debt</x:v>
      </x:c>
      <x:c r="B24" s="46" t="n">
        <x:v>2400</x:v>
      </x:c>
      <x:c r="C24" s="39"/>
      <x:c r="D24" s="39"/>
      <x:c r="E24" s="39"/>
      <x:c r="F24" s="39"/>
      <x:c r="G24" s="39"/>
      <x:c r="H24" s="39"/>
    </x:row>
    <x:row r="25">
      <x:c r="A25" s="42" t="str">
        <x:v>Tax rate</x:v>
      </x:c>
      <x:c r="B25" s="47" t="n">
        <x:v>0.245</x:v>
      </x:c>
      <x:c r="C25" s="39"/>
      <x:c r="D25" s="39"/>
      <x:c r="E25" s="39"/>
      <x:c r="F25" s="39"/>
      <x:c r="G25" s="39"/>
      <x:c r="H25" s="39"/>
    </x:row>
    <x:row r="26">
      <x:c r="A26" s="42" t="str">
        <x:v>Derived cost of equity</x:v>
      </x:c>
      <x:c r="B26" s="49" t="n">
        <x:f>B19+B21*B20</x:f>
        <x:v>0.10439999999999999</x:v>
      </x:c>
      <x:c r="C26" s="39"/>
      <x:c r="D26" s="39"/>
      <x:c r="E26" s="39"/>
      <x:c r="F26" s="39"/>
      <x:c r="G26" s="39"/>
      <x:c r="H26" s="39"/>
    </x:row>
    <x:row r="27">
      <x:c r="A27" s="42" t="str">
        <x:v>Derived WACC</x:v>
      </x:c>
      <x:c r="B27" s="49" t="n">
        <x:f>IF(B23+B24=0,0,B23/(B23+B24)*B26+B24/(B23+B24)*B22*(1-B25))</x:f>
        <x:v>0.09340608112740831</x:v>
      </x:c>
      <x:c r="C27" s="39"/>
      <x:c r="D27" s="39"/>
      <x:c r="E27" s="39"/>
      <x:c r="F27" s="39"/>
      <x:c r="G27" s="39"/>
      <x:c r="H27" s="39"/>
    </x:row>
    <x:row r="28">
      <x:c r="A28" s="42" t="str">
        <x:v>Terminal growth</x:v>
      </x:c>
      <x:c r="B28" s="47" t="n">
        <x:v>0.025</x:v>
      </x:c>
      <x:c r="C28" s="39"/>
      <x:c r="D28" s="39"/>
      <x:c r="E28" s="39"/>
      <x:c r="F28" s="39"/>
      <x:c r="G28" s="39"/>
      <x:c r="H28" s="39"/>
    </x:row>
    <x:row r="29">
      <x:c r="A29" s="50" t="str">
        <x:v>Audit status</x:v>
      </x:c>
      <x:c r="B29" s="51" t="str">
        <x:v>BLOCKED</x:v>
      </x:c>
      <x:c r="C29" s="39"/>
      <x:c r="D29" s="39"/>
      <x:c r="E29" s="39"/>
      <x:c r="F29" s="39"/>
      <x:c r="G29" s="39"/>
      <x:c r="H29" s="39"/>
    </x:row>
  </x:sheetData>
  <x:dataValidations count="1">
    <x:dataValidation type="list" sqref="B5">
      <x:formula1>"base,bull,bear"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Historical financials</x:v>
      </x:c>
      <x:c r="B2" s="36"/>
      <x:c r="C2" s="36"/>
      <x:c r="D2" s="36"/>
      <x:c r="E2" s="36"/>
      <x:c r="F2" s="36"/>
      <x:c r="G2" s="36"/>
      <x:c r="H2" s="36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  <x:c r="AA2" s="39"/>
      <x:c r="AB2" s="39"/>
    </x:row>
    <x:row r="3">
      <x:c r="A3" s="37" t="str">
        <x:v>Current bundled values remain an illustrative fixture until filing-line reconciliation is complete.</x:v>
      </x:c>
      <x:c r="B3" s="38"/>
      <x:c r="C3" s="38"/>
      <x:c r="D3" s="38"/>
      <x:c r="E3" s="38"/>
      <x:c r="F3" s="38"/>
      <x:c r="G3" s="38"/>
      <x:c r="H3" s="38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  <x:c r="AA3" s="39"/>
      <x:c r="AB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  <x:c r="AA4" s="39"/>
      <x:c r="AB4" s="39"/>
    </x:row>
    <x:row r="5">
      <x:c r="A5" s="60" t="str">
        <x:v>period</x:v>
      </x:c>
      <x:c r="B5" s="61" t="str">
        <x:v>revenue</x:v>
      </x:c>
      <x:c r="C5" s="61" t="str">
        <x:v>gross_profit</x:v>
      </x:c>
      <x:c r="D5" s="61" t="str">
        <x:v>ebit</x:v>
      </x:c>
      <x:c r="E5" s="61" t="str">
        <x:v>net_income</x:v>
      </x:c>
      <x:c r="F5" s="61" t="str">
        <x:v>diluted_shares</x:v>
      </x:c>
      <x:c r="G5" s="61" t="str">
        <x:v>operating_cash_flow</x:v>
      </x:c>
      <x:c r="H5" s="61" t="str">
        <x:v>capex</x:v>
      </x:c>
      <x:c r="I5" s="61" t="str">
        <x:v>cash</x:v>
      </x:c>
      <x:c r="J5" s="61" t="str">
        <x:v>inventory</x:v>
      </x:c>
      <x:c r="K5" s="61" t="str">
        <x:v>debt</x:v>
      </x:c>
      <x:c r="L5" s="61" t="str">
        <x:v>lease_liabilities</x:v>
      </x:c>
      <x:c r="M5" s="61" t="str">
        <x:v>shareholders_equity</x:v>
      </x:c>
      <x:c r="N5" s="61" t="str">
        <x:v>accounts_receivable</x:v>
      </x:c>
      <x:c r="O5" s="61" t="str">
        <x:v>prepaid_and_other_current_assets</x:v>
      </x:c>
      <x:c r="P5" s="61" t="str">
        <x:v>accounts_payable</x:v>
      </x:c>
      <x:c r="Q5" s="61" t="str">
        <x:v>accrued_expenses</x:v>
      </x:c>
      <x:c r="R5" s="61" t="str">
        <x:v>deferred_revenue</x:v>
      </x:c>
      <x:c r="S5" s="61" t="str">
        <x:v>income_taxes_payable</x:v>
      </x:c>
      <x:c r="T5" s="61" t="str">
        <x:v>ppe</x:v>
      </x:c>
      <x:c r="U5" s="61" t="str">
        <x:v>operating_lease_assets</x:v>
      </x:c>
      <x:c r="V5" s="61" t="str">
        <x:v>goodwill_and_intangibles</x:v>
      </x:c>
      <x:c r="W5" s="61" t="str">
        <x:v>other_assets</x:v>
      </x:c>
      <x:c r="X5" s="61" t="str">
        <x:v>other_liabilities</x:v>
      </x:c>
      <x:c r="Y5" s="61" t="str">
        <x:v>publication_date</x:v>
      </x:c>
      <x:c r="Z5" s="61" t="str">
        <x:v>gross_margin</x:v>
      </x:c>
      <x:c r="AA5" s="61" t="str">
        <x:v>ebit_margin</x:v>
      </x:c>
      <x:c r="AB5" s="62" t="str">
        <x:v>fcf</x:v>
      </x:c>
    </x:row>
    <x:row r="6">
      <x:c r="A6" s="39" t="str">
        <x:v>FY2024</x:v>
      </x:c>
      <x:c r="B6" s="39" t="n">
        <x:v>13440</x:v>
      </x:c>
      <x:c r="C6" s="39" t="n">
        <x:v>4932.5</x:v>
      </x:c>
      <x:c r="D6" s="39" t="n">
        <x:v>1450</x:v>
      </x:c>
      <x:c r="E6" s="39" t="n">
        <x:v>950</x:v>
      </x:c>
      <x:c r="F6" s="39" t="n">
        <x:v>78</x:v>
      </x:c>
      <x:c r="G6" s="39" t="n">
        <x:v>1260</x:v>
      </x:c>
      <x:c r="H6" s="39" t="n">
        <x:v>620</x:v>
      </x:c>
      <x:c r="I6" s="39" t="n">
        <x:v>1700</x:v>
      </x:c>
      <x:c r="J6" s="39" t="n">
        <x:v>3400</x:v>
      </x:c>
      <x:c r="K6" s="39" t="n">
        <x:v>1500</x:v>
      </x:c>
      <x:c r="L6" s="39" t="n">
        <x:v>2500</x:v>
      </x:c>
      <x:c r="M6" s="39" t="n">
        <x:v>3100</x:v>
      </x:c>
      <x:c r="N6" s="39" t="n">
        <x:v>0</x:v>
      </x:c>
      <x:c r="O6" s="39" t="n">
        <x:v>0</x:v>
      </x:c>
      <x:c r="P6" s="39" t="n">
        <x:v>0</x:v>
      </x:c>
      <x:c r="Q6" s="39" t="n">
        <x:v>0</x:v>
      </x:c>
      <x:c r="R6" s="39" t="n">
        <x:v>0</x:v>
      </x:c>
      <x:c r="S6" s="39" t="n">
        <x:v>0</x:v>
      </x:c>
      <x:c r="T6" s="39" t="n">
        <x:v>0</x:v>
      </x:c>
      <x:c r="U6" s="39" t="n">
        <x:v>0</x:v>
      </x:c>
      <x:c r="V6" s="39" t="n">
        <x:v>0</x:v>
      </x:c>
      <x:c r="W6" s="39" t="n">
        <x:v>0</x:v>
      </x:c>
      <x:c r="X6" s="39" t="n">
        <x:v>0</x:v>
      </x:c>
      <x:c r="Y6" s="39"/>
      <x:c r="Z6" s="39" t="n">
        <x:v>0.3670014880952381</x:v>
      </x:c>
      <x:c r="AA6" s="39" t="n">
        <x:v>0.10788690476190477</x:v>
      </x:c>
      <x:c r="AB6" s="39" t="n">
        <x:v>640</x:v>
      </x:c>
    </x:row>
    <x:row r="7">
      <x:c r="A7" s="39" t="str">
        <x:v>FY2025</x:v>
      </x:c>
      <x:c r="B7" s="39" t="n">
        <x:v>17220</x:v>
      </x:c>
      <x:c r="C7" s="39" t="n">
        <x:v>6100</x:v>
      </x:c>
      <x:c r="D7" s="39" t="n">
        <x:v>1280</x:v>
      </x:c>
      <x:c r="E7" s="39" t="n">
        <x:v>780</x:v>
      </x:c>
      <x:c r="F7" s="39" t="n">
        <x:v>86.5</x:v>
      </x:c>
      <x:c r="G7" s="39" t="n">
        <x:v>1040</x:v>
      </x:c>
      <x:c r="H7" s="39" t="n">
        <x:v>850</x:v>
      </x:c>
      <x:c r="I7" s="39" t="n">
        <x:v>1225</x:v>
      </x:c>
      <x:c r="J7" s="39" t="n">
        <x:v>5025</x:v>
      </x:c>
      <x:c r="K7" s="39" t="n">
        <x:v>2400</x:v>
      </x:c>
      <x:c r="L7" s="39" t="n">
        <x:v>4300</x:v>
      </x:c>
      <x:c r="M7" s="39" t="n">
        <x:v>3850</x:v>
      </x:c>
      <x:c r="N7" s="39" t="n">
        <x:v>0</x:v>
      </x:c>
      <x:c r="O7" s="39" t="n">
        <x:v>0</x:v>
      </x:c>
      <x:c r="P7" s="39" t="n">
        <x:v>0</x:v>
      </x:c>
      <x:c r="Q7" s="39" t="n">
        <x:v>0</x:v>
      </x:c>
      <x:c r="R7" s="39" t="n">
        <x:v>0</x:v>
      </x:c>
      <x:c r="S7" s="39" t="n">
        <x:v>0</x:v>
      </x:c>
      <x:c r="T7" s="39" t="n">
        <x:v>0</x:v>
      </x:c>
      <x:c r="U7" s="39" t="n">
        <x:v>0</x:v>
      </x:c>
      <x:c r="V7" s="39" t="n">
        <x:v>0</x:v>
      </x:c>
      <x:c r="W7" s="39" t="n">
        <x:v>0</x:v>
      </x:c>
      <x:c r="X7" s="39" t="n">
        <x:v>0</x:v>
      </x:c>
      <x:c r="Y7" s="39"/>
      <x:c r="Z7" s="39" t="n">
        <x:v>0.35423925667828104</x:v>
      </x:c>
      <x:c r="AA7" s="39" t="n">
        <x:v>0.0743321718931475</x:v>
      </x:c>
      <x:c r="AB7" s="39" t="n">
        <x:v>190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Historical segment reconciliation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Partial-period and pro-forma reconciliation require sourced standalone Foot Locker history.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40" t="str">
        <x:v>Status</x:v>
      </x:c>
      <x:c r="B5" s="39" t="str">
        <x:v>BLOCKED</x:v>
      </x:c>
      <x:c r="C5" s="39"/>
      <x:c r="D5" s="39"/>
      <x:c r="E5" s="39"/>
      <x:c r="F5" s="39"/>
      <x:c r="G5" s="39"/>
      <x:c r="H5" s="39"/>
    </x:row>
    <x:row r="6">
      <x:c r="A6" s="42" t="str">
        <x:v>Reason</x:v>
      </x:c>
      <x:c r="B6" s="39" t="str">
        <x:v>Standalone comparable-period and elimination inputs are not yet fully sourced.</x:v>
      </x:c>
      <x:c r="C6" s="39"/>
      <x:c r="D6" s="39"/>
      <x:c r="E6" s="39"/>
      <x:c r="F6" s="39"/>
      <x:c r="G6" s="39"/>
      <x:c r="H6" s="39"/>
    </x:row>
    <x:row r="7">
      <x:c r="A7" s="42" t="str">
        <x:v>Required source</x:v>
      </x:c>
      <x:c r="B7" s="39" t="str">
        <x:v>Foot Locker filings and DKS acquisition-note pro-forma tables</x:v>
      </x:c>
      <x:c r="C7" s="39"/>
      <x:c r="D7" s="39"/>
      <x:c r="E7" s="39"/>
      <x:c r="F7" s="39"/>
      <x:c r="G7" s="39"/>
      <x:c r="H7" s="39"/>
    </x:row>
    <x:row r="8">
      <x:c r="A8" s="50" t="str">
        <x:v>Cutoff</x:v>
      </x:c>
      <x:c r="B8" s="39" t="str">
        <x:v>2026-10-10</x:v>
      </x:c>
      <x:c r="C8" s="39"/>
      <x:c r="D8" s="39"/>
      <x:c r="E8" s="39"/>
      <x:c r="F8" s="39"/>
      <x:c r="G8" s="39"/>
      <x:c r="H8" s="3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52" hidden="0" customWidth="1"/>
    <x:col min="10" max="10" width="58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Assumptions and sources</x:v>
      </x:c>
      <x:c r="B2" s="36"/>
      <x:c r="C2" s="36"/>
      <x:c r="D2" s="36"/>
      <x:c r="E2" s="36"/>
      <x:c r="F2" s="36"/>
      <x:c r="G2" s="36"/>
      <x:c r="H2" s="36"/>
      <x:c r="I2" s="39"/>
      <x:c r="J2" s="39"/>
    </x:row>
    <x:row r="3">
      <x:c r="A3" s="37" t="str">
        <x:v>Active rows feed the model. Case inputs are analyst assumptions unless a source mapping states otherwise.</x:v>
      </x:c>
      <x:c r="B3" s="38"/>
      <x:c r="C3" s="38"/>
      <x:c r="D3" s="38"/>
      <x:c r="E3" s="38"/>
      <x:c r="F3" s="38"/>
      <x:c r="G3" s="38"/>
      <x:c r="H3" s="38"/>
      <x:c r="I3" s="39"/>
      <x:c r="J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</x:row>
    <x:row r="5">
      <x:c r="A5" s="60" t="str">
        <x:v>Driver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  <x:c r="I5" s="39"/>
      <x:c r="J5" s="39"/>
    </x:row>
    <x:row r="6">
      <x:c r="A6" s="80" t="str">
        <x:v>Legacy comparable sales growth — Active Selection</x:v>
      </x:c>
      <x:c r="B6" s="81" t="n">
        <x:f>IF('Model Control Panel'!$B$5="base",B7,IF('Model Control Panel'!$B$5="bull",B8,B9))</x:f>
        <x:v>0.03</x:v>
      </x:c>
      <x:c r="C6" s="81" t="n">
        <x:f>IF('Model Control Panel'!$B$5="base",C7,IF('Model Control Panel'!$B$5="bull",C8,C9))</x:f>
        <x:v>0.028</x:v>
      </x:c>
      <x:c r="D6" s="81" t="n">
        <x:f>IF('Model Control Panel'!$B$5="base",D7,IF('Model Control Panel'!$B$5="bull",D8,D9))</x:f>
        <x:v>0.025</x:v>
      </x:c>
      <x:c r="E6" s="81" t="n">
        <x:f>IF('Model Control Panel'!$B$5="base",E7,IF('Model Control Panel'!$B$5="bull",E8,E9))</x:f>
        <x:v>0.023</x:v>
      </x:c>
      <x:c r="F6" s="82" t="n">
        <x:f>IF('Model Control Panel'!$B$5="base",F7,IF('Model Control Panel'!$B$5="bull",F8,F9))</x:f>
        <x:v>0.022</x:v>
      </x:c>
      <x:c r="G6" s="39"/>
      <x:c r="H6" s="39"/>
      <x:c r="I6" s="39"/>
      <x:c r="J6" s="39"/>
    </x:row>
    <x:row r="7">
      <x:c r="A7" s="39" t="str">
        <x:v>  base</x:v>
      </x:c>
      <x:c r="B7" s="47" t="n">
        <x:v>0.03</x:v>
      </x:c>
      <x:c r="C7" s="47" t="n">
        <x:v>0.028</x:v>
      </x:c>
      <x:c r="D7" s="47" t="n">
        <x:v>0.025</x:v>
      </x:c>
      <x:c r="E7" s="47" t="n">
        <x:v>0.023</x:v>
      </x:c>
      <x:c r="F7" s="47" t="n">
        <x:v>0.022</x:v>
      </x:c>
      <x:c r="G7" s="39"/>
      <x:c r="H7" s="39"/>
      <x:c r="I7" s="39"/>
      <x:c r="J7" s="39"/>
    </x:row>
    <x:row r="8">
      <x:c r="A8" s="39" t="str">
        <x:v>  bull</x:v>
      </x:c>
      <x:c r="B8" s="47" t="n">
        <x:v>0.04</x:v>
      </x:c>
      <x:c r="C8" s="47" t="n">
        <x:v>0.038</x:v>
      </x:c>
      <x:c r="D8" s="47" t="n">
        <x:v>0.033</x:v>
      </x:c>
      <x:c r="E8" s="47" t="n">
        <x:v>0.03</x:v>
      </x:c>
      <x:c r="F8" s="47" t="n">
        <x:v>0.028</x:v>
      </x:c>
      <x:c r="G8" s="39"/>
      <x:c r="H8" s="39"/>
      <x:c r="I8" s="39"/>
      <x:c r="J8" s="39"/>
    </x:row>
    <x:row r="9">
      <x:c r="A9" s="39" t="str">
        <x:v>  bear</x:v>
      </x:c>
      <x:c r="B9" s="47" t="n">
        <x:v>0.01</x:v>
      </x:c>
      <x:c r="C9" s="47" t="n">
        <x:v>0.005</x:v>
      </x:c>
      <x:c r="D9" s="47" t="n">
        <x:v>0.01</x:v>
      </x:c>
      <x:c r="E9" s="47" t="n">
        <x:v>0.015</x:v>
      </x:c>
      <x:c r="F9" s="47" t="n">
        <x:v>0.018</x:v>
      </x:c>
      <x:c r="G9" s="39"/>
      <x:c r="H9" s="39"/>
      <x:c r="I9" s="39"/>
      <x:c r="J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</x:row>
    <x:row r="11">
      <x:c r="A11" s="80" t="str">
        <x:v>Legacy gross margin — Active Selection</x:v>
      </x:c>
      <x:c r="B11" s="81" t="n">
        <x:f>IF('Model Control Panel'!$B$5="base",B12,IF('Model Control Panel'!$B$5="bull",B13,B14))</x:f>
        <x:v>0.365</x:v>
      </x:c>
      <x:c r="C11" s="81" t="n">
        <x:f>IF('Model Control Panel'!$B$5="base",C12,IF('Model Control Panel'!$B$5="bull",C13,C14))</x:f>
        <x:v>0.366</x:v>
      </x:c>
      <x:c r="D11" s="81" t="n">
        <x:f>IF('Model Control Panel'!$B$5="base",D12,IF('Model Control Panel'!$B$5="bull",D13,D14))</x:f>
        <x:v>0.367</x:v>
      </x:c>
      <x:c r="E11" s="81" t="n">
        <x:f>IF('Model Control Panel'!$B$5="base",E12,IF('Model Control Panel'!$B$5="bull",E13,E14))</x:f>
        <x:v>0.367</x:v>
      </x:c>
      <x:c r="F11" s="82" t="n">
        <x:f>IF('Model Control Panel'!$B$5="base",F12,IF('Model Control Panel'!$B$5="bull",F13,F14))</x:f>
        <x:v>0.368</x:v>
      </x:c>
      <x:c r="G11" s="39"/>
      <x:c r="H11" s="39"/>
      <x:c r="I11" s="39"/>
      <x:c r="J11" s="39"/>
    </x:row>
    <x:row r="12">
      <x:c r="A12" s="39" t="str">
        <x:v>  base</x:v>
      </x:c>
      <x:c r="B12" s="47" t="n">
        <x:v>0.365</x:v>
      </x:c>
      <x:c r="C12" s="47" t="n">
        <x:v>0.366</x:v>
      </x:c>
      <x:c r="D12" s="47" t="n">
        <x:v>0.367</x:v>
      </x:c>
      <x:c r="E12" s="47" t="n">
        <x:v>0.367</x:v>
      </x:c>
      <x:c r="F12" s="47" t="n">
        <x:v>0.368</x:v>
      </x:c>
      <x:c r="G12" s="39"/>
      <x:c r="H12" s="39"/>
      <x:c r="I12" s="39"/>
      <x:c r="J12" s="39"/>
    </x:row>
    <x:row r="13">
      <x:c r="A13" s="39" t="str">
        <x:v>  bull</x:v>
      </x:c>
      <x:c r="B13" s="47" t="n">
        <x:v>0.367</x:v>
      </x:c>
      <x:c r="C13" s="47" t="n">
        <x:v>0.369</x:v>
      </x:c>
      <x:c r="D13" s="47" t="n">
        <x:v>0.371</x:v>
      </x:c>
      <x:c r="E13" s="47" t="n">
        <x:v>0.372</x:v>
      </x:c>
      <x:c r="F13" s="47" t="n">
        <x:v>0.373</x:v>
      </x:c>
      <x:c r="G13" s="39"/>
      <x:c r="H13" s="39"/>
      <x:c r="I13" s="39"/>
      <x:c r="J13" s="39"/>
    </x:row>
    <x:row r="14">
      <x:c r="A14" s="39" t="str">
        <x:v>  bear</x:v>
      </x:c>
      <x:c r="B14" s="47" t="n">
        <x:v>0.358</x:v>
      </x:c>
      <x:c r="C14" s="47" t="n">
        <x:v>0.357</x:v>
      </x:c>
      <x:c r="D14" s="47" t="n">
        <x:v>0.36</x:v>
      </x:c>
      <x:c r="E14" s="47" t="n">
        <x:v>0.362</x:v>
      </x:c>
      <x:c r="F14" s="47" t="n">
        <x:v>0.363</x:v>
      </x:c>
      <x:c r="G14" s="39"/>
      <x:c r="H14" s="39"/>
      <x:c r="I14" s="39"/>
      <x:c r="J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</x:row>
    <x:row r="16">
      <x:c r="A16" s="80" t="str">
        <x:v>Legacy operating expense % — Active Selection</x:v>
      </x:c>
      <x:c r="B16" s="81" t="n">
        <x:f>IF('Model Control Panel'!$B$5="base",B17,IF('Model Control Panel'!$B$5="bull",B18,B19))</x:f>
        <x:v>0.255</x:v>
      </x:c>
      <x:c r="C16" s="81" t="n">
        <x:f>IF('Model Control Panel'!$B$5="base",C17,IF('Model Control Panel'!$B$5="bull",C18,C19))</x:f>
        <x:v>0.253</x:v>
      </x:c>
      <x:c r="D16" s="81" t="n">
        <x:f>IF('Model Control Panel'!$B$5="base",D17,IF('Model Control Panel'!$B$5="bull",D18,D19))</x:f>
        <x:v>0.252</x:v>
      </x:c>
      <x:c r="E16" s="81" t="n">
        <x:f>IF('Model Control Panel'!$B$5="base",E17,IF('Model Control Panel'!$B$5="bull",E18,E19))</x:f>
        <x:v>0.252</x:v>
      </x:c>
      <x:c r="F16" s="82" t="n">
        <x:f>IF('Model Control Panel'!$B$5="base",F17,IF('Model Control Panel'!$B$5="bull",F18,F19))</x:f>
        <x:v>0.251</x:v>
      </x:c>
      <x:c r="G16" s="39"/>
      <x:c r="H16" s="39"/>
      <x:c r="I16" s="39"/>
      <x:c r="J16" s="39"/>
    </x:row>
    <x:row r="17">
      <x:c r="A17" s="39" t="str">
        <x:v>  base</x:v>
      </x:c>
      <x:c r="B17" s="47" t="n">
        <x:v>0.255</x:v>
      </x:c>
      <x:c r="C17" s="47" t="n">
        <x:v>0.253</x:v>
      </x:c>
      <x:c r="D17" s="47" t="n">
        <x:v>0.252</x:v>
      </x:c>
      <x:c r="E17" s="47" t="n">
        <x:v>0.252</x:v>
      </x:c>
      <x:c r="F17" s="47" t="n">
        <x:v>0.251</x:v>
      </x:c>
      <x:c r="G17" s="39"/>
      <x:c r="H17" s="39"/>
      <x:c r="I17" s="39"/>
      <x:c r="J17" s="39"/>
    </x:row>
    <x:row r="18">
      <x:c r="A18" s="39" t="str">
        <x:v>  bull</x:v>
      </x:c>
      <x:c r="B18" s="47" t="n">
        <x:v>0.253</x:v>
      </x:c>
      <x:c r="C18" s="47" t="n">
        <x:v>0.25</x:v>
      </x:c>
      <x:c r="D18" s="47" t="n">
        <x:v>0.248</x:v>
      </x:c>
      <x:c r="E18" s="47" t="n">
        <x:v>0.247</x:v>
      </x:c>
      <x:c r="F18" s="47" t="n">
        <x:v>0.246</x:v>
      </x:c>
      <x:c r="G18" s="39"/>
      <x:c r="H18" s="39"/>
      <x:c r="I18" s="39"/>
      <x:c r="J18" s="39"/>
    </x:row>
    <x:row r="19">
      <x:c r="A19" s="39" t="str">
        <x:v>  bear</x:v>
      </x:c>
      <x:c r="B19" s="47" t="n">
        <x:v>0.258</x:v>
      </x:c>
      <x:c r="C19" s="47" t="n">
        <x:v>0.258</x:v>
      </x:c>
      <x:c r="D19" s="47" t="n">
        <x:v>0.257</x:v>
      </x:c>
      <x:c r="E19" s="47" t="n">
        <x:v>0.256</x:v>
      </x:c>
      <x:c r="F19" s="47" t="n">
        <x:v>0.255</x:v>
      </x:c>
      <x:c r="G19" s="39"/>
      <x:c r="H19" s="39"/>
      <x:c r="I19" s="39"/>
      <x:c r="J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</x:row>
    <x:row r="21">
      <x:c r="A21" s="80" t="str">
        <x:v>Foot Locker comparable sales growth — Active Selection</x:v>
      </x:c>
      <x:c r="B21" s="81" t="n">
        <x:f>IF('Model Control Panel'!$B$5="base",B22,IF('Model Control Panel'!$B$5="bull",B23,B24))</x:f>
        <x:v>-0.015</x:v>
      </x:c>
      <x:c r="C21" s="81" t="n">
        <x:f>IF('Model Control Panel'!$B$5="base",C22,IF('Model Control Panel'!$B$5="bull",C23,C24))</x:f>
        <x:v>0.005</x:v>
      </x:c>
      <x:c r="D21" s="81" t="n">
        <x:f>IF('Model Control Panel'!$B$5="base",D22,IF('Model Control Panel'!$B$5="bull",D23,D24))</x:f>
        <x:v>0.015</x:v>
      </x:c>
      <x:c r="E21" s="81" t="n">
        <x:f>IF('Model Control Panel'!$B$5="base",E22,IF('Model Control Panel'!$B$5="bull",E23,E24))</x:f>
        <x:v>0.018</x:v>
      </x:c>
      <x:c r="F21" s="82" t="n">
        <x:f>IF('Model Control Panel'!$B$5="base",F22,IF('Model Control Panel'!$B$5="bull",F23,F24))</x:f>
        <x:v>0.02</x:v>
      </x:c>
      <x:c r="G21" s="39"/>
      <x:c r="H21" s="39"/>
      <x:c r="I21" s="39"/>
      <x:c r="J21" s="39"/>
    </x:row>
    <x:row r="22">
      <x:c r="A22" s="39" t="str">
        <x:v>  base</x:v>
      </x:c>
      <x:c r="B22" s="47" t="n">
        <x:v>-0.015</x:v>
      </x:c>
      <x:c r="C22" s="47" t="n">
        <x:v>0.005</x:v>
      </x:c>
      <x:c r="D22" s="47" t="n">
        <x:v>0.015</x:v>
      </x:c>
      <x:c r="E22" s="47" t="n">
        <x:v>0.018</x:v>
      </x:c>
      <x:c r="F22" s="47" t="n">
        <x:v>0.02</x:v>
      </x:c>
      <x:c r="G22" s="39"/>
      <x:c r="H22" s="39"/>
      <x:c r="I22" s="39"/>
      <x:c r="J22" s="39"/>
    </x:row>
    <x:row r="23">
      <x:c r="A23" s="39" t="str">
        <x:v>  bull</x:v>
      </x:c>
      <x:c r="B23" s="47" t="n">
        <x:v>0</x:v>
      </x:c>
      <x:c r="C23" s="47" t="n">
        <x:v>0.02</x:v>
      </x:c>
      <x:c r="D23" s="47" t="n">
        <x:v>0.03</x:v>
      </x:c>
      <x:c r="E23" s="47" t="n">
        <x:v>0.032</x:v>
      </x:c>
      <x:c r="F23" s="47" t="n">
        <x:v>0.03</x:v>
      </x:c>
      <x:c r="G23" s="39"/>
      <x:c r="H23" s="39"/>
      <x:c r="I23" s="39"/>
      <x:c r="J23" s="39"/>
    </x:row>
    <x:row r="24">
      <x:c r="A24" s="39" t="str">
        <x:v>  bear</x:v>
      </x:c>
      <x:c r="B24" s="47" t="n">
        <x:v>-0.04</x:v>
      </x:c>
      <x:c r="C24" s="47" t="n">
        <x:v>-0.025</x:v>
      </x:c>
      <x:c r="D24" s="47" t="n">
        <x:v>-0.01</x:v>
      </x:c>
      <x:c r="E24" s="47" t="n">
        <x:v>0</x:v>
      </x:c>
      <x:c r="F24" s="47" t="n">
        <x:v>0.005</x:v>
      </x:c>
      <x:c r="G24" s="39"/>
      <x:c r="H24" s="39"/>
      <x:c r="I24" s="39"/>
      <x:c r="J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</x:row>
    <x:row r="26">
      <x:c r="A26" s="80" t="str">
        <x:v>Foot Locker gross margin — Active Selection</x:v>
      </x:c>
      <x:c r="B26" s="81" t="n">
        <x:f>IF('Model Control Panel'!$B$5="base",B27,IF('Model Control Panel'!$B$5="bull",B28,B29))</x:f>
        <x:v>0.287</x:v>
      </x:c>
      <x:c r="C26" s="81" t="n">
        <x:f>IF('Model Control Panel'!$B$5="base",C27,IF('Model Control Panel'!$B$5="bull",C28,C29))</x:f>
        <x:v>0.295</x:v>
      </x:c>
      <x:c r="D26" s="81" t="n">
        <x:f>IF('Model Control Panel'!$B$5="base",D27,IF('Model Control Panel'!$B$5="bull",D28,D29))</x:f>
        <x:v>0.303</x:v>
      </x:c>
      <x:c r="E26" s="81" t="n">
        <x:f>IF('Model Control Panel'!$B$5="base",E27,IF('Model Control Panel'!$B$5="bull",E28,E29))</x:f>
        <x:v>0.309</x:v>
      </x:c>
      <x:c r="F26" s="82" t="n">
        <x:f>IF('Model Control Panel'!$B$5="base",F27,IF('Model Control Panel'!$B$5="bull",F28,F29))</x:f>
        <x:v>0.313</x:v>
      </x:c>
      <x:c r="G26" s="39"/>
      <x:c r="H26" s="39"/>
      <x:c r="I26" s="39"/>
      <x:c r="J26" s="39"/>
    </x:row>
    <x:row r="27">
      <x:c r="A27" s="39" t="str">
        <x:v>  base</x:v>
      </x:c>
      <x:c r="B27" s="47" t="n">
        <x:v>0.287</x:v>
      </x:c>
      <x:c r="C27" s="47" t="n">
        <x:v>0.295</x:v>
      </x:c>
      <x:c r="D27" s="47" t="n">
        <x:v>0.303</x:v>
      </x:c>
      <x:c r="E27" s="47" t="n">
        <x:v>0.309</x:v>
      </x:c>
      <x:c r="F27" s="47" t="n">
        <x:v>0.313</x:v>
      </x:c>
      <x:c r="G27" s="39"/>
      <x:c r="H27" s="39"/>
      <x:c r="I27" s="39"/>
      <x:c r="J27" s="39"/>
    </x:row>
    <x:row r="28">
      <x:c r="A28" s="39" t="str">
        <x:v>  bull</x:v>
      </x:c>
      <x:c r="B28" s="47" t="n">
        <x:v>0.292</x:v>
      </x:c>
      <x:c r="C28" s="47" t="n">
        <x:v>0.305</x:v>
      </x:c>
      <x:c r="D28" s="47" t="n">
        <x:v>0.318</x:v>
      </x:c>
      <x:c r="E28" s="47" t="n">
        <x:v>0.325</x:v>
      </x:c>
      <x:c r="F28" s="47" t="n">
        <x:v>0.33</x:v>
      </x:c>
      <x:c r="G28" s="39"/>
      <x:c r="H28" s="39"/>
      <x:c r="I28" s="39"/>
      <x:c r="J28" s="39"/>
    </x:row>
    <x:row r="29">
      <x:c r="A29" s="39" t="str">
        <x:v>  bear</x:v>
      </x:c>
      <x:c r="B29" s="47" t="n">
        <x:v>0.278</x:v>
      </x:c>
      <x:c r="C29" s="47" t="n">
        <x:v>0.28</x:v>
      </x:c>
      <x:c r="D29" s="47" t="n">
        <x:v>0.286</x:v>
      </x:c>
      <x:c r="E29" s="47" t="n">
        <x:v>0.292</x:v>
      </x:c>
      <x:c r="F29" s="47" t="n">
        <x:v>0.298</x:v>
      </x:c>
      <x:c r="G29" s="39"/>
      <x:c r="H29" s="39"/>
      <x:c r="I29" s="39"/>
      <x:c r="J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</x:row>
    <x:row r="31">
      <x:c r="A31" s="80" t="str">
        <x:v>Foot Locker operating expense % — Active Selection</x:v>
      </x:c>
      <x:c r="B31" s="81" t="n">
        <x:f>IF('Model Control Panel'!$B$5="base",B32,IF('Model Control Panel'!$B$5="bull",B33,B34))</x:f>
        <x:v>0.295</x:v>
      </x:c>
      <x:c r="C31" s="81" t="n">
        <x:f>IF('Model Control Panel'!$B$5="base",C32,IF('Model Control Panel'!$B$5="bull",C33,C34))</x:f>
        <x:v>0.288</x:v>
      </x:c>
      <x:c r="D31" s="81" t="n">
        <x:f>IF('Model Control Panel'!$B$5="base",D32,IF('Model Control Panel'!$B$5="bull",D33,D34))</x:f>
        <x:v>0.281</x:v>
      </x:c>
      <x:c r="E31" s="81" t="n">
        <x:f>IF('Model Control Panel'!$B$5="base",E32,IF('Model Control Panel'!$B$5="bull",E33,E34))</x:f>
        <x:v>0.276</x:v>
      </x:c>
      <x:c r="F31" s="82" t="n">
        <x:f>IF('Model Control Panel'!$B$5="base",F32,IF('Model Control Panel'!$B$5="bull",F33,F34))</x:f>
        <x:v>0.273</x:v>
      </x:c>
      <x:c r="G31" s="39"/>
      <x:c r="H31" s="39"/>
      <x:c r="I31" s="39"/>
      <x:c r="J31" s="39"/>
    </x:row>
    <x:row r="32">
      <x:c r="A32" s="39" t="str">
        <x:v>  base</x:v>
      </x:c>
      <x:c r="B32" s="47" t="n">
        <x:v>0.295</x:v>
      </x:c>
      <x:c r="C32" s="47" t="n">
        <x:v>0.288</x:v>
      </x:c>
      <x:c r="D32" s="47" t="n">
        <x:v>0.281</x:v>
      </x:c>
      <x:c r="E32" s="47" t="n">
        <x:v>0.276</x:v>
      </x:c>
      <x:c r="F32" s="47" t="n">
        <x:v>0.273</x:v>
      </x:c>
      <x:c r="G32" s="39"/>
      <x:c r="H32" s="39"/>
      <x:c r="I32" s="39"/>
      <x:c r="J32" s="39"/>
    </x:row>
    <x:row r="33">
      <x:c r="A33" s="39" t="str">
        <x:v>  bull</x:v>
      </x:c>
      <x:c r="B33" s="47" t="n">
        <x:v>0.292</x:v>
      </x:c>
      <x:c r="C33" s="47" t="n">
        <x:v>0.282</x:v>
      </x:c>
      <x:c r="D33" s="47" t="n">
        <x:v>0.272</x:v>
      </x:c>
      <x:c r="E33" s="47" t="n">
        <x:v>0.265</x:v>
      </x:c>
      <x:c r="F33" s="47" t="n">
        <x:v>0.261</x:v>
      </x:c>
      <x:c r="G33" s="39"/>
      <x:c r="H33" s="39"/>
      <x:c r="I33" s="39"/>
      <x:c r="J33" s="39"/>
    </x:row>
    <x:row r="34">
      <x:c r="A34" s="39" t="str">
        <x:v>  bear</x:v>
      </x:c>
      <x:c r="B34" s="47" t="n">
        <x:v>0.302</x:v>
      </x:c>
      <x:c r="C34" s="47" t="n">
        <x:v>0.3</x:v>
      </x:c>
      <x:c r="D34" s="47" t="n">
        <x:v>0.295</x:v>
      </x:c>
      <x:c r="E34" s="47" t="n">
        <x:v>0.291</x:v>
      </x:c>
      <x:c r="F34" s="47" t="n">
        <x:v>0.288</x:v>
      </x:c>
      <x:c r="G34" s="39"/>
      <x:c r="H34" s="39"/>
      <x:c r="I34" s="39"/>
      <x:c r="J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</x:row>
    <x:row r="36">
      <x:c r="A36" s="80" t="str">
        <x:v>Corporate expense % — Active Selection</x:v>
      </x:c>
      <x:c r="B36" s="81" t="n">
        <x:f>IF('Model Control Panel'!$B$5="base",B37,IF('Model Control Panel'!$B$5="bull",B38,B39))</x:f>
        <x:v>0.012</x:v>
      </x:c>
      <x:c r="C36" s="81" t="n">
        <x:f>IF('Model Control Panel'!$B$5="base",C37,IF('Model Control Panel'!$B$5="bull",C38,C39))</x:f>
        <x:v>0.012</x:v>
      </x:c>
      <x:c r="D36" s="81" t="n">
        <x:f>IF('Model Control Panel'!$B$5="base",D37,IF('Model Control Panel'!$B$5="bull",D38,D39))</x:f>
        <x:v>0.0115</x:v>
      </x:c>
      <x:c r="E36" s="81" t="n">
        <x:f>IF('Model Control Panel'!$B$5="base",E37,IF('Model Control Panel'!$B$5="bull",E38,E39))</x:f>
        <x:v>0.0115</x:v>
      </x:c>
      <x:c r="F36" s="82" t="n">
        <x:f>IF('Model Control Panel'!$B$5="base",F37,IF('Model Control Panel'!$B$5="bull",F38,F39))</x:f>
        <x:v>0.011</x:v>
      </x:c>
      <x:c r="G36" s="39"/>
      <x:c r="H36" s="39"/>
      <x:c r="I36" s="39"/>
      <x:c r="J36" s="39"/>
    </x:row>
    <x:row r="37">
      <x:c r="A37" s="39" t="str">
        <x:v>  base</x:v>
      </x:c>
      <x:c r="B37" s="47" t="n">
        <x:v>0.012</x:v>
      </x:c>
      <x:c r="C37" s="47" t="n">
        <x:v>0.012</x:v>
      </x:c>
      <x:c r="D37" s="47" t="n">
        <x:v>0.0115</x:v>
      </x:c>
      <x:c r="E37" s="47" t="n">
        <x:v>0.0115</x:v>
      </x:c>
      <x:c r="F37" s="47" t="n">
        <x:v>0.011</x:v>
      </x:c>
      <x:c r="G37" s="39"/>
      <x:c r="H37" s="39"/>
      <x:c r="I37" s="39"/>
      <x:c r="J37" s="39"/>
    </x:row>
    <x:row r="38">
      <x:c r="A38" s="39" t="str">
        <x:v>  bull</x:v>
      </x:c>
      <x:c r="B38" s="47" t="n">
        <x:v>0.012</x:v>
      </x:c>
      <x:c r="C38" s="47" t="n">
        <x:v>0.0115</x:v>
      </x:c>
      <x:c r="D38" s="47" t="n">
        <x:v>0.011</x:v>
      </x:c>
      <x:c r="E38" s="47" t="n">
        <x:v>0.0105</x:v>
      </x:c>
      <x:c r="F38" s="47" t="n">
        <x:v>0.0105</x:v>
      </x:c>
      <x:c r="G38" s="39"/>
      <x:c r="H38" s="39"/>
      <x:c r="I38" s="39"/>
      <x:c r="J38" s="39"/>
    </x:row>
    <x:row r="39">
      <x:c r="A39" s="39" t="str">
        <x:v>  bear</x:v>
      </x:c>
      <x:c r="B39" s="47" t="n">
        <x:v>0.0125</x:v>
      </x:c>
      <x:c r="C39" s="47" t="n">
        <x:v>0.0125</x:v>
      </x:c>
      <x:c r="D39" s="47" t="n">
        <x:v>0.012</x:v>
      </x:c>
      <x:c r="E39" s="47" t="n">
        <x:v>0.012</x:v>
      </x:c>
      <x:c r="F39" s="47" t="n">
        <x:v>0.0115</x:v>
      </x:c>
      <x:c r="G39" s="39"/>
      <x:c r="H39" s="39"/>
      <x:c r="I39" s="39"/>
      <x:c r="J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</x:row>
    <x:row r="41">
      <x:c r="A41" s="80" t="str">
        <x:v>Capital expenditures % revenue — Active Selection</x:v>
      </x:c>
      <x:c r="B41" s="81" t="n">
        <x:f>IF('Model Control Panel'!$B$5="base",B42,IF('Model Control Panel'!$B$5="bull",B43,B44))</x:f>
        <x:v>0.055</x:v>
      </x:c>
      <x:c r="C41" s="81" t="n">
        <x:f>IF('Model Control Panel'!$B$5="base",C42,IF('Model Control Panel'!$B$5="bull",C43,C44))</x:f>
        <x:v>0.052</x:v>
      </x:c>
      <x:c r="D41" s="81" t="n">
        <x:f>IF('Model Control Panel'!$B$5="base",D42,IF('Model Control Panel'!$B$5="bull",D43,D44))</x:f>
        <x:v>0.049</x:v>
      </x:c>
      <x:c r="E41" s="81" t="n">
        <x:f>IF('Model Control Panel'!$B$5="base",E42,IF('Model Control Panel'!$B$5="bull",E43,E44))</x:f>
        <x:v>0.047</x:v>
      </x:c>
      <x:c r="F41" s="82" t="n">
        <x:f>IF('Model Control Panel'!$B$5="base",F42,IF('Model Control Panel'!$B$5="bull",F43,F44))</x:f>
        <x:v>0.046</x:v>
      </x:c>
      <x:c r="G41" s="39"/>
      <x:c r="H41" s="39"/>
      <x:c r="I41" s="39"/>
      <x:c r="J41" s="39"/>
    </x:row>
    <x:row r="42">
      <x:c r="A42" s="39" t="str">
        <x:v>  base</x:v>
      </x:c>
      <x:c r="B42" s="47" t="n">
        <x:v>0.055</x:v>
      </x:c>
      <x:c r="C42" s="47" t="n">
        <x:v>0.052</x:v>
      </x:c>
      <x:c r="D42" s="47" t="n">
        <x:v>0.049</x:v>
      </x:c>
      <x:c r="E42" s="47" t="n">
        <x:v>0.047</x:v>
      </x:c>
      <x:c r="F42" s="47" t="n">
        <x:v>0.046</x:v>
      </x:c>
      <x:c r="G42" s="39"/>
      <x:c r="H42" s="39"/>
      <x:c r="I42" s="39"/>
      <x:c r="J42" s="39"/>
    </x:row>
    <x:row r="43">
      <x:c r="A43" s="39" t="str">
        <x:v>  bull</x:v>
      </x:c>
      <x:c r="B43" s="47" t="n">
        <x:v>0.056</x:v>
      </x:c>
      <x:c r="C43" s="47" t="n">
        <x:v>0.053</x:v>
      </x:c>
      <x:c r="D43" s="47" t="n">
        <x:v>0.05</x:v>
      </x:c>
      <x:c r="E43" s="47" t="n">
        <x:v>0.048</x:v>
      </x:c>
      <x:c r="F43" s="47" t="n">
        <x:v>0.047</x:v>
      </x:c>
      <x:c r="G43" s="39"/>
      <x:c r="H43" s="39"/>
      <x:c r="I43" s="39"/>
      <x:c r="J43" s="39"/>
    </x:row>
    <x:row r="44">
      <x:c r="A44" s="39" t="str">
        <x:v>  bear</x:v>
      </x:c>
      <x:c r="B44" s="47" t="n">
        <x:v>0.055</x:v>
      </x:c>
      <x:c r="C44" s="47" t="n">
        <x:v>0.052</x:v>
      </x:c>
      <x:c r="D44" s="47" t="n">
        <x:v>0.049</x:v>
      </x:c>
      <x:c r="E44" s="47" t="n">
        <x:v>0.047</x:v>
      </x:c>
      <x:c r="F44" s="47" t="n">
        <x:v>0.046</x:v>
      </x:c>
      <x:c r="G44" s="39"/>
      <x:c r="H44" s="39"/>
      <x:c r="I44" s="39"/>
      <x:c r="J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</x:row>
    <x:row r="46">
      <x:c r="A46" s="80" t="str">
        <x:v>Depreciation % revenue — Active Selection</x:v>
      </x:c>
      <x:c r="B46" s="81" t="n">
        <x:f>IF('Model Control Panel'!$B$5="base",B47,IF('Model Control Panel'!$B$5="bull",B48,B49))</x:f>
        <x:v>0.041</x:v>
      </x:c>
      <x:c r="C46" s="81" t="n">
        <x:f>IF('Model Control Panel'!$B$5="base",C47,IF('Model Control Panel'!$B$5="bull",C48,C49))</x:f>
        <x:v>0.04</x:v>
      </x:c>
      <x:c r="D46" s="81" t="n">
        <x:f>IF('Model Control Panel'!$B$5="base",D47,IF('Model Control Panel'!$B$5="bull",D48,D49))</x:f>
        <x:v>0.039</x:v>
      </x:c>
      <x:c r="E46" s="81" t="n">
        <x:f>IF('Model Control Panel'!$B$5="base",E47,IF('Model Control Panel'!$B$5="bull",E48,E49))</x:f>
        <x:v>0.038</x:v>
      </x:c>
      <x:c r="F46" s="82" t="n">
        <x:f>IF('Model Control Panel'!$B$5="base",F47,IF('Model Control Panel'!$B$5="bull",F48,F49))</x:f>
        <x:v>0.038</x:v>
      </x:c>
      <x:c r="G46" s="39"/>
      <x:c r="H46" s="39"/>
      <x:c r="I46" s="39"/>
      <x:c r="J46" s="39"/>
    </x:row>
    <x:row r="47">
      <x:c r="A47" s="39" t="str">
        <x:v>  base</x:v>
      </x:c>
      <x:c r="B47" s="47" t="n">
        <x:v>0.041</x:v>
      </x:c>
      <x:c r="C47" s="47" t="n">
        <x:v>0.04</x:v>
      </x:c>
      <x:c r="D47" s="47" t="n">
        <x:v>0.039</x:v>
      </x:c>
      <x:c r="E47" s="47" t="n">
        <x:v>0.038</x:v>
      </x:c>
      <x:c r="F47" s="47" t="n">
        <x:v>0.038</x:v>
      </x:c>
      <x:c r="G47" s="39"/>
      <x:c r="H47" s="39"/>
      <x:c r="I47" s="39"/>
      <x:c r="J47" s="39"/>
    </x:row>
    <x:row r="48">
      <x:c r="A48" s="39" t="str">
        <x:v>  bull</x:v>
      </x:c>
      <x:c r="B48" s="47" t="n">
        <x:v>0.041</x:v>
      </x:c>
      <x:c r="C48" s="47" t="n">
        <x:v>0.04</x:v>
      </x:c>
      <x:c r="D48" s="47" t="n">
        <x:v>0.039</x:v>
      </x:c>
      <x:c r="E48" s="47" t="n">
        <x:v>0.038</x:v>
      </x:c>
      <x:c r="F48" s="47" t="n">
        <x:v>0.038</x:v>
      </x:c>
      <x:c r="G48" s="39"/>
      <x:c r="H48" s="39"/>
      <x:c r="I48" s="39"/>
      <x:c r="J48" s="39"/>
    </x:row>
    <x:row r="49">
      <x:c r="A49" s="39" t="str">
        <x:v>  bear</x:v>
      </x:c>
      <x:c r="B49" s="47" t="n">
        <x:v>0.041</x:v>
      </x:c>
      <x:c r="C49" s="47" t="n">
        <x:v>0.04</x:v>
      </x:c>
      <x:c r="D49" s="47" t="n">
        <x:v>0.039</x:v>
      </x:c>
      <x:c r="E49" s="47" t="n">
        <x:v>0.038</x:v>
      </x:c>
      <x:c r="F49" s="47" t="n">
        <x:v>0.038</x:v>
      </x:c>
      <x:c r="G49" s="39"/>
      <x:c r="H49" s="39"/>
      <x:c r="I49" s="39"/>
      <x:c r="J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</x:row>
    <x:row r="51">
      <x:c r="A51" s="80" t="str">
        <x:v>Inventory days — Active Selection</x:v>
      </x:c>
      <x:c r="B51" s="83" t="n">
        <x:f>IF('Model Control Panel'!$B$5="base",B52,IF('Model Control Panel'!$B$5="bull",B53,B54))</x:f>
        <x:v>105</x:v>
      </x:c>
      <x:c r="C51" s="83" t="n">
        <x:f>IF('Model Control Panel'!$B$5="base",C52,IF('Model Control Panel'!$B$5="bull",C53,C54))</x:f>
        <x:v>105</x:v>
      </x:c>
      <x:c r="D51" s="83" t="n">
        <x:f>IF('Model Control Panel'!$B$5="base",D52,IF('Model Control Panel'!$B$5="bull",D53,D54))</x:f>
        <x:v>105</x:v>
      </x:c>
      <x:c r="E51" s="83" t="n">
        <x:f>IF('Model Control Panel'!$B$5="base",E52,IF('Model Control Panel'!$B$5="bull",E53,E54))</x:f>
        <x:v>105</x:v>
      </x:c>
      <x:c r="F51" s="84" t="n">
        <x:f>IF('Model Control Panel'!$B$5="base",F52,IF('Model Control Panel'!$B$5="bull",F53,F54))</x:f>
        <x:v>105</x:v>
      </x:c>
      <x:c r="G51" s="39"/>
      <x:c r="H51" s="39"/>
      <x:c r="I51" s="39"/>
      <x:c r="J51" s="39"/>
    </x:row>
    <x:row r="52">
      <x:c r="A52" s="39" t="str">
        <x:v>  base</x:v>
      </x:c>
      <x:c r="B52" s="85" t="n">
        <x:v>105</x:v>
      </x:c>
      <x:c r="C52" s="85" t="n">
        <x:v>105</x:v>
      </x:c>
      <x:c r="D52" s="85" t="n">
        <x:v>105</x:v>
      </x:c>
      <x:c r="E52" s="85" t="n">
        <x:v>105</x:v>
      </x:c>
      <x:c r="F52" s="85" t="n">
        <x:v>105</x:v>
      </x:c>
      <x:c r="G52" s="39"/>
      <x:c r="H52" s="39"/>
      <x:c r="I52" s="39"/>
      <x:c r="J52" s="39"/>
    </x:row>
    <x:row r="53">
      <x:c r="A53" s="39" t="str">
        <x:v>  bull</x:v>
      </x:c>
      <x:c r="B53" s="85" t="n">
        <x:v>105</x:v>
      </x:c>
      <x:c r="C53" s="85" t="n">
        <x:v>105</x:v>
      </x:c>
      <x:c r="D53" s="85" t="n">
        <x:v>105</x:v>
      </x:c>
      <x:c r="E53" s="85" t="n">
        <x:v>105</x:v>
      </x:c>
      <x:c r="F53" s="85" t="n">
        <x:v>105</x:v>
      </x:c>
      <x:c r="G53" s="39"/>
      <x:c r="H53" s="39"/>
      <x:c r="I53" s="39"/>
      <x:c r="J53" s="39"/>
    </x:row>
    <x:row r="54">
      <x:c r="A54" s="39" t="str">
        <x:v>  bear</x:v>
      </x:c>
      <x:c r="B54" s="85" t="n">
        <x:v>105</x:v>
      </x:c>
      <x:c r="C54" s="85" t="n">
        <x:v>105</x:v>
      </x:c>
      <x:c r="D54" s="85" t="n">
        <x:v>105</x:v>
      </x:c>
      <x:c r="E54" s="85" t="n">
        <x:v>105</x:v>
      </x:c>
      <x:c r="F54" s="85" t="n">
        <x:v>105</x:v>
      </x:c>
      <x:c r="G54" s="39"/>
      <x:c r="H54" s="39"/>
      <x:c r="I54" s="39"/>
      <x:c r="J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</x:row>
    <x:row r="56">
      <x:c r="A56" s="80" t="str">
        <x:v>Receivable days — Active Selection</x:v>
      </x:c>
      <x:c r="B56" s="83" t="n">
        <x:f>IF('Model Control Panel'!$B$5="base",B57,IF('Model Control Panel'!$B$5="bull",B58,B59))</x:f>
        <x:v>4</x:v>
      </x:c>
      <x:c r="C56" s="83" t="n">
        <x:f>IF('Model Control Panel'!$B$5="base",C57,IF('Model Control Panel'!$B$5="bull",C58,C59))</x:f>
        <x:v>4</x:v>
      </x:c>
      <x:c r="D56" s="83" t="n">
        <x:f>IF('Model Control Panel'!$B$5="base",D57,IF('Model Control Panel'!$B$5="bull",D58,D59))</x:f>
        <x:v>4</x:v>
      </x:c>
      <x:c r="E56" s="83" t="n">
        <x:f>IF('Model Control Panel'!$B$5="base",E57,IF('Model Control Panel'!$B$5="bull",E58,E59))</x:f>
        <x:v>4</x:v>
      </x:c>
      <x:c r="F56" s="84" t="n">
        <x:f>IF('Model Control Panel'!$B$5="base",F57,IF('Model Control Panel'!$B$5="bull",F58,F59))</x:f>
        <x:v>4</x:v>
      </x:c>
      <x:c r="G56" s="39"/>
      <x:c r="H56" s="39"/>
      <x:c r="I56" s="39"/>
      <x:c r="J56" s="39"/>
    </x:row>
    <x:row r="57">
      <x:c r="A57" s="39" t="str">
        <x:v>  base</x:v>
      </x:c>
      <x:c r="B57" s="85" t="n">
        <x:v>4</x:v>
      </x:c>
      <x:c r="C57" s="85" t="n">
        <x:v>4</x:v>
      </x:c>
      <x:c r="D57" s="85" t="n">
        <x:v>4</x:v>
      </x:c>
      <x:c r="E57" s="85" t="n">
        <x:v>4</x:v>
      </x:c>
      <x:c r="F57" s="85" t="n">
        <x:v>4</x:v>
      </x:c>
      <x:c r="G57" s="39"/>
      <x:c r="H57" s="39"/>
      <x:c r="I57" s="39"/>
      <x:c r="J57" s="39"/>
    </x:row>
    <x:row r="58">
      <x:c r="A58" s="39" t="str">
        <x:v>  bull</x:v>
      </x:c>
      <x:c r="B58" s="85" t="n">
        <x:v>4</x:v>
      </x:c>
      <x:c r="C58" s="85" t="n">
        <x:v>4</x:v>
      </x:c>
      <x:c r="D58" s="85" t="n">
        <x:v>4</x:v>
      </x:c>
      <x:c r="E58" s="85" t="n">
        <x:v>4</x:v>
      </x:c>
      <x:c r="F58" s="85" t="n">
        <x:v>4</x:v>
      </x:c>
      <x:c r="G58" s="39"/>
      <x:c r="H58" s="39"/>
      <x:c r="I58" s="39"/>
      <x:c r="J58" s="39"/>
    </x:row>
    <x:row r="59">
      <x:c r="A59" s="39" t="str">
        <x:v>  bear</x:v>
      </x:c>
      <x:c r="B59" s="85" t="n">
        <x:v>4</x:v>
      </x:c>
      <x:c r="C59" s="85" t="n">
        <x:v>4</x:v>
      </x:c>
      <x:c r="D59" s="85" t="n">
        <x:v>4</x:v>
      </x:c>
      <x:c r="E59" s="85" t="n">
        <x:v>4</x:v>
      </x:c>
      <x:c r="F59" s="85" t="n">
        <x:v>4</x:v>
      </x:c>
      <x:c r="G59" s="39"/>
      <x:c r="H59" s="39"/>
      <x:c r="I59" s="39"/>
      <x:c r="J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</x:row>
    <x:row r="61">
      <x:c r="A61" s="80" t="str">
        <x:v>Payable days — Active Selection</x:v>
      </x:c>
      <x:c r="B61" s="83" t="n">
        <x:f>IF('Model Control Panel'!$B$5="base",B62,IF('Model Control Panel'!$B$5="bull",B63,B64))</x:f>
        <x:v>45</x:v>
      </x:c>
      <x:c r="C61" s="83" t="n">
        <x:f>IF('Model Control Panel'!$B$5="base",C62,IF('Model Control Panel'!$B$5="bull",C63,C64))</x:f>
        <x:v>45</x:v>
      </x:c>
      <x:c r="D61" s="83" t="n">
        <x:f>IF('Model Control Panel'!$B$5="base",D62,IF('Model Control Panel'!$B$5="bull",D63,D64))</x:f>
        <x:v>45</x:v>
      </x:c>
      <x:c r="E61" s="83" t="n">
        <x:f>IF('Model Control Panel'!$B$5="base",E62,IF('Model Control Panel'!$B$5="bull",E63,E64))</x:f>
        <x:v>45</x:v>
      </x:c>
      <x:c r="F61" s="84" t="n">
        <x:f>IF('Model Control Panel'!$B$5="base",F62,IF('Model Control Panel'!$B$5="bull",F63,F64))</x:f>
        <x:v>45</x:v>
      </x:c>
      <x:c r="G61" s="39"/>
      <x:c r="H61" s="39"/>
      <x:c r="I61" s="39"/>
      <x:c r="J61" s="39"/>
    </x:row>
    <x:row r="62">
      <x:c r="A62" s="39" t="str">
        <x:v>  base</x:v>
      </x:c>
      <x:c r="B62" s="85" t="n">
        <x:v>45</x:v>
      </x:c>
      <x:c r="C62" s="85" t="n">
        <x:v>45</x:v>
      </x:c>
      <x:c r="D62" s="85" t="n">
        <x:v>45</x:v>
      </x:c>
      <x:c r="E62" s="85" t="n">
        <x:v>45</x:v>
      </x:c>
      <x:c r="F62" s="85" t="n">
        <x:v>45</x:v>
      </x:c>
      <x:c r="G62" s="39"/>
      <x:c r="H62" s="39"/>
      <x:c r="I62" s="39"/>
      <x:c r="J62" s="39"/>
    </x:row>
    <x:row r="63">
      <x:c r="A63" s="39" t="str">
        <x:v>  bull</x:v>
      </x:c>
      <x:c r="B63" s="85" t="n">
        <x:v>45</x:v>
      </x:c>
      <x:c r="C63" s="85" t="n">
        <x:v>45</x:v>
      </x:c>
      <x:c r="D63" s="85" t="n">
        <x:v>45</x:v>
      </x:c>
      <x:c r="E63" s="85" t="n">
        <x:v>45</x:v>
      </x:c>
      <x:c r="F63" s="85" t="n">
        <x:v>45</x:v>
      </x:c>
      <x:c r="G63" s="39"/>
      <x:c r="H63" s="39"/>
      <x:c r="I63" s="39"/>
      <x:c r="J63" s="39"/>
    </x:row>
    <x:row r="64">
      <x:c r="A64" s="39" t="str">
        <x:v>  bear</x:v>
      </x:c>
      <x:c r="B64" s="85" t="n">
        <x:v>45</x:v>
      </x:c>
      <x:c r="C64" s="85" t="n">
        <x:v>45</x:v>
      </x:c>
      <x:c r="D64" s="85" t="n">
        <x:v>45</x:v>
      </x:c>
      <x:c r="E64" s="85" t="n">
        <x:v>45</x:v>
      </x:c>
      <x:c r="F64" s="85" t="n">
        <x:v>45</x:v>
      </x:c>
      <x:c r="G64" s="39"/>
      <x:c r="H64" s="39"/>
      <x:c r="I64" s="39"/>
      <x:c r="J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</x:row>
    <x:row r="66">
      <x:c r="A66" s="80" t="str">
        <x:v>Other current assets/(liabilities) % revenue — Active Selection</x:v>
      </x:c>
      <x:c r="B66" s="81" t="n">
        <x:f>IF('Model Control Panel'!$B$5="base",B67,IF('Model Control Panel'!$B$5="bull",B68,B69))</x:f>
        <x:v>-0.015</x:v>
      </x:c>
      <x:c r="C66" s="81" t="n">
        <x:f>IF('Model Control Panel'!$B$5="base",C67,IF('Model Control Panel'!$B$5="bull",C68,C69))</x:f>
        <x:v>-0.015</x:v>
      </x:c>
      <x:c r="D66" s="81" t="n">
        <x:f>IF('Model Control Panel'!$B$5="base",D67,IF('Model Control Panel'!$B$5="bull",D68,D69))</x:f>
        <x:v>-0.015</x:v>
      </x:c>
      <x:c r="E66" s="81" t="n">
        <x:f>IF('Model Control Panel'!$B$5="base",E67,IF('Model Control Panel'!$B$5="bull",E68,E69))</x:f>
        <x:v>-0.015</x:v>
      </x:c>
      <x:c r="F66" s="82" t="n">
        <x:f>IF('Model Control Panel'!$B$5="base",F67,IF('Model Control Panel'!$B$5="bull",F68,F69))</x:f>
        <x:v>-0.015</x:v>
      </x:c>
      <x:c r="G66" s="39"/>
      <x:c r="H66" s="39"/>
      <x:c r="I66" s="39"/>
      <x:c r="J66" s="39"/>
    </x:row>
    <x:row r="67">
      <x:c r="A67" s="39" t="str">
        <x:v>  base</x:v>
      </x:c>
      <x:c r="B67" s="47" t="n">
        <x:v>-0.015</x:v>
      </x:c>
      <x:c r="C67" s="47" t="n">
        <x:v>-0.015</x:v>
      </x:c>
      <x:c r="D67" s="47" t="n">
        <x:v>-0.015</x:v>
      </x:c>
      <x:c r="E67" s="47" t="n">
        <x:v>-0.015</x:v>
      </x:c>
      <x:c r="F67" s="47" t="n">
        <x:v>-0.015</x:v>
      </x:c>
      <x:c r="G67" s="39"/>
      <x:c r="H67" s="39"/>
      <x:c r="I67" s="39"/>
      <x:c r="J67" s="39"/>
    </x:row>
    <x:row r="68">
      <x:c r="A68" s="39" t="str">
        <x:v>  bull</x:v>
      </x:c>
      <x:c r="B68" s="47" t="n">
        <x:v>-0.015</x:v>
      </x:c>
      <x:c r="C68" s="47" t="n">
        <x:v>-0.015</x:v>
      </x:c>
      <x:c r="D68" s="47" t="n">
        <x:v>-0.015</x:v>
      </x:c>
      <x:c r="E68" s="47" t="n">
        <x:v>-0.015</x:v>
      </x:c>
      <x:c r="F68" s="47" t="n">
        <x:v>-0.015</x:v>
      </x:c>
      <x:c r="G68" s="39"/>
      <x:c r="H68" s="39"/>
      <x:c r="I68" s="39"/>
      <x:c r="J68" s="39"/>
    </x:row>
    <x:row r="69">
      <x:c r="A69" s="39" t="str">
        <x:v>  bear</x:v>
      </x:c>
      <x:c r="B69" s="47" t="n">
        <x:v>-0.015</x:v>
      </x:c>
      <x:c r="C69" s="47" t="n">
        <x:v>-0.015</x:v>
      </x:c>
      <x:c r="D69" s="47" t="n">
        <x:v>-0.015</x:v>
      </x:c>
      <x:c r="E69" s="47" t="n">
        <x:v>-0.015</x:v>
      </x:c>
      <x:c r="F69" s="47" t="n">
        <x:v>-0.015</x:v>
      </x:c>
      <x:c r="G69" s="39"/>
      <x:c r="H69" s="39"/>
      <x:c r="I69" s="39"/>
      <x:c r="J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</x:row>
    <x:row r="71">
      <x:c r="A71" s="80" t="str">
        <x:v>Interest rate — Active Selection</x:v>
      </x:c>
      <x:c r="B71" s="81" t="n">
        <x:f>IF('Model Control Panel'!$B$5="base",B72,IF('Model Control Panel'!$B$5="bull",B73,B74))</x:f>
        <x:v>0.052</x:v>
      </x:c>
      <x:c r="C71" s="81" t="n">
        <x:f>IF('Model Control Panel'!$B$5="base",C72,IF('Model Control Panel'!$B$5="bull",C73,C74))</x:f>
        <x:v>0.052</x:v>
      </x:c>
      <x:c r="D71" s="81" t="n">
        <x:f>IF('Model Control Panel'!$B$5="base",D72,IF('Model Control Panel'!$B$5="bull",D73,D74))</x:f>
        <x:v>0.05</x:v>
      </x:c>
      <x:c r="E71" s="81" t="n">
        <x:f>IF('Model Control Panel'!$B$5="base",E72,IF('Model Control Panel'!$B$5="bull",E73,E74))</x:f>
        <x:v>0.049</x:v>
      </x:c>
      <x:c r="F71" s="82" t="n">
        <x:f>IF('Model Control Panel'!$B$5="base",F72,IF('Model Control Panel'!$B$5="bull",F73,F74))</x:f>
        <x:v>0.048</x:v>
      </x:c>
      <x:c r="G71" s="39"/>
      <x:c r="H71" s="39"/>
      <x:c r="I71" s="39"/>
      <x:c r="J71" s="39"/>
    </x:row>
    <x:row r="72">
      <x:c r="A72" s="39" t="str">
        <x:v>  base</x:v>
      </x:c>
      <x:c r="B72" s="47" t="n">
        <x:v>0.052</x:v>
      </x:c>
      <x:c r="C72" s="47" t="n">
        <x:v>0.052</x:v>
      </x:c>
      <x:c r="D72" s="47" t="n">
        <x:v>0.05</x:v>
      </x:c>
      <x:c r="E72" s="47" t="n">
        <x:v>0.049</x:v>
      </x:c>
      <x:c r="F72" s="47" t="n">
        <x:v>0.048</x:v>
      </x:c>
      <x:c r="G72" s="39"/>
      <x:c r="H72" s="39"/>
      <x:c r="I72" s="39"/>
      <x:c r="J72" s="39"/>
    </x:row>
    <x:row r="73">
      <x:c r="A73" s="39" t="str">
        <x:v>  bull</x:v>
      </x:c>
      <x:c r="B73" s="47" t="n">
        <x:v>0.052</x:v>
      </x:c>
      <x:c r="C73" s="47" t="n">
        <x:v>0.051</x:v>
      </x:c>
      <x:c r="D73" s="47" t="n">
        <x:v>0.049</x:v>
      </x:c>
      <x:c r="E73" s="47" t="n">
        <x:v>0.048</x:v>
      </x:c>
      <x:c r="F73" s="47" t="n">
        <x:v>0.047</x:v>
      </x:c>
      <x:c r="G73" s="39"/>
      <x:c r="H73" s="39"/>
      <x:c r="I73" s="39"/>
      <x:c r="J73" s="39"/>
    </x:row>
    <x:row r="74">
      <x:c r="A74" s="39" t="str">
        <x:v>  bear</x:v>
      </x:c>
      <x:c r="B74" s="47" t="n">
        <x:v>0.054</x:v>
      </x:c>
      <x:c r="C74" s="47" t="n">
        <x:v>0.054</x:v>
      </x:c>
      <x:c r="D74" s="47" t="n">
        <x:v>0.053</x:v>
      </x:c>
      <x:c r="E74" s="47" t="n">
        <x:v>0.052</x:v>
      </x:c>
      <x:c r="F74" s="47" t="n">
        <x:v>0.051</x:v>
      </x:c>
      <x:c r="G74" s="39"/>
      <x:c r="H74" s="39"/>
      <x:c r="I74" s="39"/>
      <x:c r="J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</x:row>
    <x:row r="76">
      <x:c r="A76" s="80" t="str">
        <x:v>Scheduled debt repayment — Active Selection</x:v>
      </x:c>
      <x:c r="B76" s="86" t="n">
        <x:f>IF('Model Control Panel'!$B$5="base",B77,IF('Model Control Panel'!$B$5="bull",B78,B79))</x:f>
        <x:v>175</x:v>
      </x:c>
      <x:c r="C76" s="86" t="n">
        <x:f>IF('Model Control Panel'!$B$5="base",C77,IF('Model Control Panel'!$B$5="bull",C78,C79))</x:f>
        <x:v>250</x:v>
      </x:c>
      <x:c r="D76" s="86" t="n">
        <x:f>IF('Model Control Panel'!$B$5="base",D77,IF('Model Control Panel'!$B$5="bull",D78,D79))</x:f>
        <x:v>300</x:v>
      </x:c>
      <x:c r="E76" s="86" t="n">
        <x:f>IF('Model Control Panel'!$B$5="base",E77,IF('Model Control Panel'!$B$5="bull",E78,E79))</x:f>
        <x:v>300</x:v>
      </x:c>
      <x:c r="F76" s="87" t="n">
        <x:f>IF('Model Control Panel'!$B$5="base",F77,IF('Model Control Panel'!$B$5="bull",F78,F79))</x:f>
        <x:v>300</x:v>
      </x:c>
      <x:c r="G76" s="39"/>
      <x:c r="H76" s="39"/>
      <x:c r="I76" s="39"/>
      <x:c r="J76" s="39"/>
    </x:row>
    <x:row r="77">
      <x:c r="A77" s="39" t="str">
        <x:v>  base</x:v>
      </x:c>
      <x:c r="B77" s="46" t="n">
        <x:v>175</x:v>
      </x:c>
      <x:c r="C77" s="46" t="n">
        <x:v>250</x:v>
      </x:c>
      <x:c r="D77" s="46" t="n">
        <x:v>300</x:v>
      </x:c>
      <x:c r="E77" s="46" t="n">
        <x:v>300</x:v>
      </x:c>
      <x:c r="F77" s="46" t="n">
        <x:v>300</x:v>
      </x:c>
      <x:c r="G77" s="39"/>
      <x:c r="H77" s="39"/>
      <x:c r="I77" s="39"/>
      <x:c r="J77" s="39"/>
    </x:row>
    <x:row r="78">
      <x:c r="A78" s="39" t="str">
        <x:v>  bull</x:v>
      </x:c>
      <x:c r="B78" s="46" t="n">
        <x:v>225</x:v>
      </x:c>
      <x:c r="C78" s="46" t="n">
        <x:v>325</x:v>
      </x:c>
      <x:c r="D78" s="46" t="n">
        <x:v>400</x:v>
      </x:c>
      <x:c r="E78" s="46" t="n">
        <x:v>425</x:v>
      </x:c>
      <x:c r="F78" s="46" t="n">
        <x:v>450</x:v>
      </x:c>
      <x:c r="G78" s="39"/>
      <x:c r="H78" s="39"/>
      <x:c r="I78" s="39"/>
      <x:c r="J78" s="39"/>
    </x:row>
    <x:row r="79">
      <x:c r="A79" s="39" t="str">
        <x:v>  bear</x:v>
      </x:c>
      <x:c r="B79" s="46" t="n">
        <x:v>100</x:v>
      </x:c>
      <x:c r="C79" s="46" t="n">
        <x:v>125</x:v>
      </x:c>
      <x:c r="D79" s="46" t="n">
        <x:v>175</x:v>
      </x:c>
      <x:c r="E79" s="46" t="n">
        <x:v>200</x:v>
      </x:c>
      <x:c r="F79" s="46" t="n">
        <x:v>225</x:v>
      </x:c>
      <x:c r="G79" s="39"/>
      <x:c r="H79" s="39"/>
      <x:c r="I79" s="39"/>
      <x:c r="J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</x:row>
    <x:row r="81">
      <x:c r="A81" s="80" t="str">
        <x:v>Dividends — Active Selection</x:v>
      </x:c>
      <x:c r="B81" s="86" t="n">
        <x:f>IF('Model Control Panel'!$B$5="base",B82,IF('Model Control Panel'!$B$5="bull",B83,B84))</x:f>
        <x:v>380</x:v>
      </x:c>
      <x:c r="C81" s="86" t="n">
        <x:f>IF('Model Control Panel'!$B$5="base",C82,IF('Model Control Panel'!$B$5="bull",C83,C84))</x:f>
        <x:v>405</x:v>
      </x:c>
      <x:c r="D81" s="86" t="n">
        <x:f>IF('Model Control Panel'!$B$5="base",D82,IF('Model Control Panel'!$B$5="bull",D83,D84))</x:f>
        <x:v>425</x:v>
      </x:c>
      <x:c r="E81" s="86" t="n">
        <x:f>IF('Model Control Panel'!$B$5="base",E82,IF('Model Control Panel'!$B$5="bull",E83,E84))</x:f>
        <x:v>445</x:v>
      </x:c>
      <x:c r="F81" s="87" t="n">
        <x:f>IF('Model Control Panel'!$B$5="base",F82,IF('Model Control Panel'!$B$5="bull",F83,F84))</x:f>
        <x:v>465</x:v>
      </x:c>
      <x:c r="G81" s="39"/>
      <x:c r="H81" s="39"/>
      <x:c r="I81" s="39"/>
      <x:c r="J81" s="39"/>
    </x:row>
    <x:row r="82">
      <x:c r="A82" s="39" t="str">
        <x:v>  base</x:v>
      </x:c>
      <x:c r="B82" s="46" t="n">
        <x:v>380</x:v>
      </x:c>
      <x:c r="C82" s="46" t="n">
        <x:v>405</x:v>
      </x:c>
      <x:c r="D82" s="46" t="n">
        <x:v>425</x:v>
      </x:c>
      <x:c r="E82" s="46" t="n">
        <x:v>445</x:v>
      </x:c>
      <x:c r="F82" s="46" t="n">
        <x:v>465</x:v>
      </x:c>
      <x:c r="G82" s="39"/>
      <x:c r="H82" s="39"/>
      <x:c r="I82" s="39"/>
      <x:c r="J82" s="39"/>
    </x:row>
    <x:row r="83">
      <x:c r="A83" s="39" t="str">
        <x:v>  bull</x:v>
      </x:c>
      <x:c r="B83" s="46" t="n">
        <x:v>380</x:v>
      </x:c>
      <x:c r="C83" s="46" t="n">
        <x:v>410</x:v>
      </x:c>
      <x:c r="D83" s="46" t="n">
        <x:v>440</x:v>
      </x:c>
      <x:c r="E83" s="46" t="n">
        <x:v>470</x:v>
      </x:c>
      <x:c r="F83" s="46" t="n">
        <x:v>500</x:v>
      </x:c>
      <x:c r="G83" s="39"/>
      <x:c r="H83" s="39"/>
      <x:c r="I83" s="39"/>
      <x:c r="J83" s="39"/>
    </x:row>
    <x:row r="84">
      <x:c r="A84" s="39" t="str">
        <x:v>  bear</x:v>
      </x:c>
      <x:c r="B84" s="46" t="n">
        <x:v>380</x:v>
      </x:c>
      <x:c r="C84" s="46" t="n">
        <x:v>390</x:v>
      </x:c>
      <x:c r="D84" s="46" t="n">
        <x:v>400</x:v>
      </x:c>
      <x:c r="E84" s="46" t="n">
        <x:v>410</x:v>
      </x:c>
      <x:c r="F84" s="46" t="n">
        <x:v>420</x:v>
      </x:c>
      <x:c r="G84" s="39"/>
      <x:c r="H84" s="39"/>
      <x:c r="I84" s="39"/>
      <x:c r="J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</x:row>
    <x:row r="86">
      <x:c r="A86" s="80" t="str">
        <x:v>Share repurchases — Active Selection</x:v>
      </x:c>
      <x:c r="B86" s="86" t="n">
        <x:f>IF('Model Control Panel'!$B$5="base",B87,IF('Model Control Panel'!$B$5="bull",B88,B89))</x:f>
        <x:v>250</x:v>
      </x:c>
      <x:c r="C86" s="86" t="n">
        <x:f>IF('Model Control Panel'!$B$5="base",C87,IF('Model Control Panel'!$B$5="bull",C88,C89))</x:f>
        <x:v>300</x:v>
      </x:c>
      <x:c r="D86" s="86" t="n">
        <x:f>IF('Model Control Panel'!$B$5="base",D87,IF('Model Control Panel'!$B$5="bull",D88,D89))</x:f>
        <x:v>400</x:v>
      </x:c>
      <x:c r="E86" s="86" t="n">
        <x:f>IF('Model Control Panel'!$B$5="base",E87,IF('Model Control Panel'!$B$5="bull",E88,E89))</x:f>
        <x:v>450</x:v>
      </x:c>
      <x:c r="F86" s="87" t="n">
        <x:f>IF('Model Control Panel'!$B$5="base",F87,IF('Model Control Panel'!$B$5="bull",F88,F89))</x:f>
        <x:v>500</x:v>
      </x:c>
      <x:c r="G86" s="39"/>
      <x:c r="H86" s="39"/>
      <x:c r="I86" s="39"/>
      <x:c r="J86" s="39"/>
    </x:row>
    <x:row r="87">
      <x:c r="A87" s="39" t="str">
        <x:v>  base</x:v>
      </x:c>
      <x:c r="B87" s="46" t="n">
        <x:v>250</x:v>
      </x:c>
      <x:c r="C87" s="46" t="n">
        <x:v>300</x:v>
      </x:c>
      <x:c r="D87" s="46" t="n">
        <x:v>400</x:v>
      </x:c>
      <x:c r="E87" s="46" t="n">
        <x:v>450</x:v>
      </x:c>
      <x:c r="F87" s="46" t="n">
        <x:v>500</x:v>
      </x:c>
      <x:c r="G87" s="39"/>
      <x:c r="H87" s="39"/>
      <x:c r="I87" s="39"/>
      <x:c r="J87" s="39"/>
    </x:row>
    <x:row r="88">
      <x:c r="A88" s="39" t="str">
        <x:v>  bull</x:v>
      </x:c>
      <x:c r="B88" s="46" t="n">
        <x:v>350</x:v>
      </x:c>
      <x:c r="C88" s="46" t="n">
        <x:v>500</x:v>
      </x:c>
      <x:c r="D88" s="46" t="n">
        <x:v>650</x:v>
      </x:c>
      <x:c r="E88" s="46" t="n">
        <x:v>750</x:v>
      </x:c>
      <x:c r="F88" s="46" t="n">
        <x:v>850</x:v>
      </x:c>
      <x:c r="G88" s="39"/>
      <x:c r="H88" s="39"/>
      <x:c r="I88" s="39"/>
      <x:c r="J88" s="39"/>
    </x:row>
    <x:row r="89">
      <x:c r="A89" s="39" t="str">
        <x:v>  bear</x:v>
      </x:c>
      <x:c r="B89" s="46" t="n">
        <x:v>0</x:v>
      </x:c>
      <x:c r="C89" s="46" t="n">
        <x:v>100</x:v>
      </x:c>
      <x:c r="D89" s="46" t="n">
        <x:v>150</x:v>
      </x:c>
      <x:c r="E89" s="46" t="n">
        <x:v>200</x:v>
      </x:c>
      <x:c r="F89" s="46" t="n">
        <x:v>250</x:v>
      </x:c>
      <x:c r="G89" s="39"/>
      <x:c r="H89" s="39"/>
      <x:c r="I89" s="39"/>
      <x:c r="J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</x:row>
    <x:row r="91">
      <x:c r="A91" s="80" t="str">
        <x:v>Average repurchase price — Active Selection</x:v>
      </x:c>
      <x:c r="B91" s="88" t="n">
        <x:f>IF('Model Control Panel'!$B$5="base",B92,IF('Model Control Panel'!$B$5="bull",B93,B94))</x:f>
        <x:v>250</x:v>
      </x:c>
      <x:c r="C91" s="88" t="n">
        <x:f>IF('Model Control Panel'!$B$5="base",C92,IF('Model Control Panel'!$B$5="bull",C93,C94))</x:f>
        <x:v>260</x:v>
      </x:c>
      <x:c r="D91" s="88" t="n">
        <x:f>IF('Model Control Panel'!$B$5="base",D92,IF('Model Control Panel'!$B$5="bull",D93,D94))</x:f>
        <x:v>270</x:v>
      </x:c>
      <x:c r="E91" s="88" t="n">
        <x:f>IF('Model Control Panel'!$B$5="base",E92,IF('Model Control Panel'!$B$5="bull",E93,E94))</x:f>
        <x:v>280</x:v>
      </x:c>
      <x:c r="F91" s="89" t="n">
        <x:f>IF('Model Control Panel'!$B$5="base",F92,IF('Model Control Panel'!$B$5="bull",F93,F94))</x:f>
        <x:v>290</x:v>
      </x:c>
      <x:c r="G91" s="39"/>
      <x:c r="H91" s="39"/>
      <x:c r="I91" s="39"/>
      <x:c r="J91" s="39"/>
    </x:row>
    <x:row r="92">
      <x:c r="A92" s="39" t="str">
        <x:v>  base</x:v>
      </x:c>
      <x:c r="B92" s="44" t="n">
        <x:v>250</x:v>
      </x:c>
      <x:c r="C92" s="44" t="n">
        <x:v>260</x:v>
      </x:c>
      <x:c r="D92" s="44" t="n">
        <x:v>270</x:v>
      </x:c>
      <x:c r="E92" s="44" t="n">
        <x:v>280</x:v>
      </x:c>
      <x:c r="F92" s="44" t="n">
        <x:v>290</x:v>
      </x:c>
      <x:c r="G92" s="39"/>
      <x:c r="H92" s="39"/>
      <x:c r="I92" s="39"/>
      <x:c r="J92" s="39"/>
    </x:row>
    <x:row r="93">
      <x:c r="A93" s="39" t="str">
        <x:v>  bull</x:v>
      </x:c>
      <x:c r="B93" s="44" t="n">
        <x:v>260</x:v>
      </x:c>
      <x:c r="C93" s="44" t="n">
        <x:v>285</x:v>
      </x:c>
      <x:c r="D93" s="44" t="n">
        <x:v>305</x:v>
      </x:c>
      <x:c r="E93" s="44" t="n">
        <x:v>325</x:v>
      </x:c>
      <x:c r="F93" s="44" t="n">
        <x:v>345</x:v>
      </x:c>
      <x:c r="G93" s="39"/>
      <x:c r="H93" s="39"/>
      <x:c r="I93" s="39"/>
      <x:c r="J93" s="39"/>
    </x:row>
    <x:row r="94">
      <x:c r="A94" s="39" t="str">
        <x:v>  bear</x:v>
      </x:c>
      <x:c r="B94" s="44" t="n">
        <x:v>225</x:v>
      </x:c>
      <x:c r="C94" s="44" t="n">
        <x:v>225</x:v>
      </x:c>
      <x:c r="D94" s="44" t="n">
        <x:v>230</x:v>
      </x:c>
      <x:c r="E94" s="44" t="n">
        <x:v>235</x:v>
      </x:c>
      <x:c r="F94" s="44" t="n">
        <x:v>240</x:v>
      </x:c>
      <x:c r="G94" s="39"/>
      <x:c r="H94" s="39"/>
      <x:c r="I94" s="39"/>
      <x:c r="J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</x:row>
    <x:row r="96">
      <x:c r="A96" s="80" t="str">
        <x:v>SBC dilution — Active Selection</x:v>
      </x:c>
      <x:c r="B96" s="90" t="n">
        <x:f>IF('Model Control Panel'!$B$5="base",B97,IF('Model Control Panel'!$B$5="bull",B98,B99))</x:f>
        <x:v>0.6</x:v>
      </x:c>
      <x:c r="C96" s="90" t="n">
        <x:f>IF('Model Control Panel'!$B$5="base",C97,IF('Model Control Panel'!$B$5="bull",C98,C99))</x:f>
        <x:v>0.6</x:v>
      </x:c>
      <x:c r="D96" s="90" t="n">
        <x:f>IF('Model Control Panel'!$B$5="base",D97,IF('Model Control Panel'!$B$5="bull",D98,D99))</x:f>
        <x:v>0.55</x:v>
      </x:c>
      <x:c r="E96" s="90" t="n">
        <x:f>IF('Model Control Panel'!$B$5="base",E97,IF('Model Control Panel'!$B$5="bull",E98,E99))</x:f>
        <x:v>0.5</x:v>
      </x:c>
      <x:c r="F96" s="91" t="n">
        <x:f>IF('Model Control Panel'!$B$5="base",F97,IF('Model Control Panel'!$B$5="bull",F98,F99))</x:f>
        <x:v>0.5</x:v>
      </x:c>
      <x:c r="G96" s="39"/>
      <x:c r="H96" s="39"/>
      <x:c r="I96" s="39"/>
      <x:c r="J96" s="39"/>
    </x:row>
    <x:row r="97">
      <x:c r="A97" s="39" t="str">
        <x:v>  base</x:v>
      </x:c>
      <x:c r="B97" s="45" t="n">
        <x:v>0.6</x:v>
      </x:c>
      <x:c r="C97" s="45" t="n">
        <x:v>0.6</x:v>
      </x:c>
      <x:c r="D97" s="45" t="n">
        <x:v>0.55</x:v>
      </x:c>
      <x:c r="E97" s="45" t="n">
        <x:v>0.5</x:v>
      </x:c>
      <x:c r="F97" s="45" t="n">
        <x:v>0.5</x:v>
      </x:c>
      <x:c r="G97" s="39"/>
      <x:c r="H97" s="39"/>
      <x:c r="I97" s="39"/>
      <x:c r="J97" s="39"/>
    </x:row>
    <x:row r="98">
      <x:c r="A98" s="39" t="str">
        <x:v>  bull</x:v>
      </x:c>
      <x:c r="B98" s="45" t="n">
        <x:v>0.6</x:v>
      </x:c>
      <x:c r="C98" s="45" t="n">
        <x:v>0.6</x:v>
      </x:c>
      <x:c r="D98" s="45" t="n">
        <x:v>0.55</x:v>
      </x:c>
      <x:c r="E98" s="45" t="n">
        <x:v>0.5</x:v>
      </x:c>
      <x:c r="F98" s="45" t="n">
        <x:v>0.5</x:v>
      </x:c>
      <x:c r="G98" s="39"/>
      <x:c r="H98" s="39"/>
      <x:c r="I98" s="39"/>
      <x:c r="J98" s="39"/>
    </x:row>
    <x:row r="99">
      <x:c r="A99" s="39" t="str">
        <x:v>  bear</x:v>
      </x:c>
      <x:c r="B99" s="45" t="n">
        <x:v>0.65</x:v>
      </x:c>
      <x:c r="C99" s="45" t="n">
        <x:v>0.65</x:v>
      </x:c>
      <x:c r="D99" s="45" t="n">
        <x:v>0.6</x:v>
      </x:c>
      <x:c r="E99" s="45" t="n">
        <x:v>0.6</x:v>
      </x:c>
      <x:c r="F99" s="45" t="n">
        <x:v>0.55</x:v>
      </x:c>
      <x:c r="G99" s="39"/>
      <x:c r="H99" s="39"/>
      <x:c r="I99" s="39"/>
      <x:c r="J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</x:row>
    <x:row r="101">
      <x:c r="A101" s="80" t="str">
        <x:v>SBC expense — Active Selection</x:v>
      </x:c>
      <x:c r="B101" s="86" t="n">
        <x:f>IF('Model Control Panel'!$B$5="base",B102,IF('Model Control Panel'!$B$5="bull",B103,B104))</x:f>
        <x:v>0</x:v>
      </x:c>
      <x:c r="C101" s="86" t="n">
        <x:f>IF('Model Control Panel'!$B$5="base",C102,IF('Model Control Panel'!$B$5="bull",C103,C104))</x:f>
        <x:v>0</x:v>
      </x:c>
      <x:c r="D101" s="86" t="n">
        <x:f>IF('Model Control Panel'!$B$5="base",D102,IF('Model Control Panel'!$B$5="bull",D103,D104))</x:f>
        <x:v>0</x:v>
      </x:c>
      <x:c r="E101" s="86" t="n">
        <x:f>IF('Model Control Panel'!$B$5="base",E102,IF('Model Control Panel'!$B$5="bull",E103,E104))</x:f>
        <x:v>0</x:v>
      </x:c>
      <x:c r="F101" s="87" t="n">
        <x:f>IF('Model Control Panel'!$B$5="base",F102,IF('Model Control Panel'!$B$5="bull",F103,F104))</x:f>
        <x:v>0</x:v>
      </x:c>
      <x:c r="G101" s="39"/>
      <x:c r="H101" s="39"/>
      <x:c r="I101" s="39"/>
      <x:c r="J101" s="39"/>
    </x:row>
    <x:row r="102">
      <x:c r="A102" s="39" t="str">
        <x:v>  base</x:v>
      </x:c>
      <x:c r="B102" s="46" t="n">
        <x:v>0</x:v>
      </x:c>
      <x:c r="C102" s="46" t="n">
        <x:v>0</x:v>
      </x:c>
      <x:c r="D102" s="46" t="n">
        <x:v>0</x:v>
      </x:c>
      <x:c r="E102" s="46" t="n">
        <x:v>0</x:v>
      </x:c>
      <x:c r="F102" s="46" t="n">
        <x:v>0</x:v>
      </x:c>
      <x:c r="G102" s="39"/>
      <x:c r="H102" s="39"/>
      <x:c r="I102" s="39"/>
      <x:c r="J102" s="39"/>
    </x:row>
    <x:row r="103">
      <x:c r="A103" s="39" t="str">
        <x:v>  bull</x:v>
      </x:c>
      <x:c r="B103" s="46" t="n">
        <x:v>0</x:v>
      </x:c>
      <x:c r="C103" s="46" t="n">
        <x:v>0</x:v>
      </x:c>
      <x:c r="D103" s="46" t="n">
        <x:v>0</x:v>
      </x:c>
      <x:c r="E103" s="46" t="n">
        <x:v>0</x:v>
      </x:c>
      <x:c r="F103" s="46" t="n">
        <x:v>0</x:v>
      </x:c>
      <x:c r="G103" s="39"/>
      <x:c r="H103" s="39"/>
      <x:c r="I103" s="39"/>
      <x:c r="J103" s="39"/>
    </x:row>
    <x:row r="104">
      <x:c r="A104" s="39" t="str">
        <x:v>  bear</x:v>
      </x:c>
      <x:c r="B104" s="46" t="n">
        <x:v>0</x:v>
      </x:c>
      <x:c r="C104" s="46" t="n">
        <x:v>0</x:v>
      </x:c>
      <x:c r="D104" s="46" t="n">
        <x:v>0</x:v>
      </x:c>
      <x:c r="E104" s="46" t="n">
        <x:v>0</x:v>
      </x:c>
      <x:c r="F104" s="46" t="n">
        <x:v>0</x:v>
      </x:c>
      <x:c r="G104" s="39"/>
      <x:c r="H104" s="39"/>
      <x:c r="I104" s="39"/>
      <x:c r="J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</x:row>
    <x:row r="106">
      <x:c r="A106" s="80" t="str">
        <x:v>Share issuance — Active Selection</x:v>
      </x:c>
      <x:c r="B106" s="90" t="n">
        <x:f>IF('Model Control Panel'!$B$5="base",B107,IF('Model Control Panel'!$B$5="bull",B108,B109))</x:f>
        <x:v>0</x:v>
      </x:c>
      <x:c r="C106" s="90" t="n">
        <x:f>IF('Model Control Panel'!$B$5="base",C107,IF('Model Control Panel'!$B$5="bull",C108,C109))</x:f>
        <x:v>0</x:v>
      </x:c>
      <x:c r="D106" s="90" t="n">
        <x:f>IF('Model Control Panel'!$B$5="base",D107,IF('Model Control Panel'!$B$5="bull",D108,D109))</x:f>
        <x:v>0</x:v>
      </x:c>
      <x:c r="E106" s="90" t="n">
        <x:f>IF('Model Control Panel'!$B$5="base",E107,IF('Model Control Panel'!$B$5="bull",E108,E109))</x:f>
        <x:v>0</x:v>
      </x:c>
      <x:c r="F106" s="91" t="n">
        <x:f>IF('Model Control Panel'!$B$5="base",F107,IF('Model Control Panel'!$B$5="bull",F108,F109))</x:f>
        <x:v>0</x:v>
      </x:c>
      <x:c r="G106" s="39"/>
      <x:c r="H106" s="39"/>
      <x:c r="I106" s="39"/>
      <x:c r="J106" s="39"/>
    </x:row>
    <x:row r="107">
      <x:c r="A107" s="39" t="str">
        <x:v>  base</x:v>
      </x:c>
      <x:c r="B107" s="45" t="n">
        <x:v>0</x:v>
      </x:c>
      <x:c r="C107" s="45" t="n">
        <x:v>0</x:v>
      </x:c>
      <x:c r="D107" s="45" t="n">
        <x:v>0</x:v>
      </x:c>
      <x:c r="E107" s="45" t="n">
        <x:v>0</x:v>
      </x:c>
      <x:c r="F107" s="45" t="n">
        <x:v>0</x:v>
      </x:c>
      <x:c r="G107" s="39"/>
      <x:c r="H107" s="39"/>
      <x:c r="I107" s="39"/>
      <x:c r="J107" s="39"/>
    </x:row>
    <x:row r="108">
      <x:c r="A108" s="39" t="str">
        <x:v>  bull</x:v>
      </x:c>
      <x:c r="B108" s="45" t="n">
        <x:v>0</x:v>
      </x:c>
      <x:c r="C108" s="45" t="n">
        <x:v>0</x:v>
      </x:c>
      <x:c r="D108" s="45" t="n">
        <x:v>0</x:v>
      </x:c>
      <x:c r="E108" s="45" t="n">
        <x:v>0</x:v>
      </x:c>
      <x:c r="F108" s="45" t="n">
        <x:v>0</x:v>
      </x:c>
      <x:c r="G108" s="39"/>
      <x:c r="H108" s="39"/>
      <x:c r="I108" s="39"/>
      <x:c r="J108" s="39"/>
    </x:row>
    <x:row r="109">
      <x:c r="A109" s="39" t="str">
        <x:v>  bear</x:v>
      </x:c>
      <x:c r="B109" s="45" t="n">
        <x:v>0</x:v>
      </x:c>
      <x:c r="C109" s="45" t="n">
        <x:v>0</x:v>
      </x:c>
      <x:c r="D109" s="45" t="n">
        <x:v>0</x:v>
      </x:c>
      <x:c r="E109" s="45" t="n">
        <x:v>0</x:v>
      </x:c>
      <x:c r="F109" s="45" t="n">
        <x:v>0</x:v>
      </x:c>
      <x:c r="G109" s="39"/>
      <x:c r="H109" s="39"/>
      <x:c r="I109" s="39"/>
      <x:c r="J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</x:row>
    <x:row r="111">
      <x:c r="A111" s="80" t="str">
        <x:v>Cash tax rate — Active Selection</x:v>
      </x:c>
      <x:c r="B111" s="81" t="n">
        <x:f>IF('Model Control Panel'!$B$5="base",B112,IF('Model Control Panel'!$B$5="bull",B113,B114))</x:f>
        <x:v>0.245</x:v>
      </x:c>
      <x:c r="C111" s="81" t="n">
        <x:f>IF('Model Control Panel'!$B$5="base",C112,IF('Model Control Panel'!$B$5="bull",C113,C114))</x:f>
        <x:v>0.245</x:v>
      </x:c>
      <x:c r="D111" s="81" t="n">
        <x:f>IF('Model Control Panel'!$B$5="base",D112,IF('Model Control Panel'!$B$5="bull",D113,D114))</x:f>
        <x:v>0.245</x:v>
      </x:c>
      <x:c r="E111" s="81" t="n">
        <x:f>IF('Model Control Panel'!$B$5="base",E112,IF('Model Control Panel'!$B$5="bull",E113,E114))</x:f>
        <x:v>0.245</x:v>
      </x:c>
      <x:c r="F111" s="82" t="n">
        <x:f>IF('Model Control Panel'!$B$5="base",F112,IF('Model Control Panel'!$B$5="bull",F113,F114))</x:f>
        <x:v>0.245</x:v>
      </x:c>
      <x:c r="G111" s="39"/>
      <x:c r="H111" s="39"/>
      <x:c r="I111" s="39"/>
      <x:c r="J111" s="39"/>
    </x:row>
    <x:row r="112">
      <x:c r="A112" s="39" t="str">
        <x:v>  base</x:v>
      </x:c>
      <x:c r="B112" s="47" t="n">
        <x:v>0.245</x:v>
      </x:c>
      <x:c r="C112" s="47" t="n">
        <x:v>0.245</x:v>
      </x:c>
      <x:c r="D112" s="47" t="n">
        <x:v>0.245</x:v>
      </x:c>
      <x:c r="E112" s="47" t="n">
        <x:v>0.245</x:v>
      </x:c>
      <x:c r="F112" s="47" t="n">
        <x:v>0.245</x:v>
      </x:c>
      <x:c r="G112" s="39"/>
      <x:c r="H112" s="39"/>
      <x:c r="I112" s="39"/>
      <x:c r="J112" s="39"/>
    </x:row>
    <x:row r="113">
      <x:c r="A113" s="39" t="str">
        <x:v>  bull</x:v>
      </x:c>
      <x:c r="B113" s="47" t="n">
        <x:v>0.245</x:v>
      </x:c>
      <x:c r="C113" s="47" t="n">
        <x:v>0.245</x:v>
      </x:c>
      <x:c r="D113" s="47" t="n">
        <x:v>0.245</x:v>
      </x:c>
      <x:c r="E113" s="47" t="n">
        <x:v>0.245</x:v>
      </x:c>
      <x:c r="F113" s="47" t="n">
        <x:v>0.245</x:v>
      </x:c>
      <x:c r="G113" s="39"/>
      <x:c r="H113" s="39"/>
      <x:c r="I113" s="39"/>
      <x:c r="J113" s="39"/>
    </x:row>
    <x:row r="114">
      <x:c r="A114" s="39" t="str">
        <x:v>  bear</x:v>
      </x:c>
      <x:c r="B114" s="47" t="n">
        <x:v>0.245</x:v>
      </x:c>
      <x:c r="C114" s="47" t="n">
        <x:v>0.245</x:v>
      </x:c>
      <x:c r="D114" s="47" t="n">
        <x:v>0.245</x:v>
      </x:c>
      <x:c r="E114" s="47" t="n">
        <x:v>0.245</x:v>
      </x:c>
      <x:c r="F114" s="47" t="n">
        <x:v>0.245</x:v>
      </x:c>
      <x:c r="G114" s="39"/>
      <x:c r="H114" s="39"/>
      <x:c r="I114" s="39"/>
      <x:c r="J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</x:row>
    <x:row r="117">
      <x:c r="A117" s="80" t="str">
        <x:v>Source lineage</x:v>
      </x:c>
      <x:c r="B117" s="92"/>
      <x:c r="C117" s="92"/>
      <x:c r="D117" s="92"/>
      <x:c r="E117" s="92"/>
      <x:c r="F117" s="92"/>
      <x:c r="G117" s="92"/>
      <x:c r="H117" s="92"/>
      <x:c r="I117" s="93"/>
      <x:c r="J117" s="39"/>
    </x:row>
    <x:row r="118">
      <x:c r="A118" s="60" t="str">
        <x:v>key</x:v>
      </x:c>
      <x:c r="B118" s="61" t="str">
        <x:v>source_name</x:v>
      </x:c>
      <x:c r="C118" s="61" t="str">
        <x:v>source_date</x:v>
      </x:c>
      <x:c r="D118" s="61" t="str">
        <x:v>access_date</x:v>
      </x:c>
      <x:c r="E118" s="61" t="str">
        <x:v>period</x:v>
      </x:c>
      <x:c r="F118" s="61" t="str">
        <x:v>unit</x:v>
      </x:c>
      <x:c r="G118" s="61" t="str">
        <x:v>input_type</x:v>
      </x:c>
      <x:c r="H118" s="61" t="str">
        <x:v>confidence</x:v>
      </x:c>
      <x:c r="I118" s="61" t="str">
        <x:v>url</x:v>
      </x:c>
      <x:c r="J118" s="62" t="str">
        <x:v>locator</x:v>
      </x:c>
    </x:row>
    <x:row r="119">
      <x:c r="A119" s="39" t="str">
        <x:v>dks_fy2025_10k</x:v>
      </x:c>
      <x:c r="B119" s="39" t="str">
        <x:v>DICK'S Sporting Goods Form 10-K</x:v>
      </x:c>
      <x:c r="C119" s="39" t="str">
        <x:v>2026-03-27</x:v>
      </x:c>
      <x:c r="D119" s="39" t="str">
        <x:v>2026-10-10</x:v>
      </x:c>
      <x:c r="E119" s="39" t="str">
        <x:v>FY2025</x:v>
      </x:c>
      <x:c r="F119" s="39" t="str">
        <x:v>document</x:v>
      </x:c>
      <x:c r="G119" s="39" t="str">
        <x:v>official filing</x:v>
      </x:c>
      <x:c r="H119" s="39" t="str">
        <x:v>high</x:v>
      </x:c>
      <x:c r="I119" s="39"/>
      <x:c r="J119" s="39" t="str">
        <x:v>Legacy source anchor; exact locator required</x:v>
      </x:c>
    </x:row>
    <x:row r="120">
      <x:c r="A120" s="39" t="str">
        <x:v>dks_q2_fy2026_10q</x:v>
      </x:c>
      <x:c r="B120" s="39" t="str">
        <x:v>DICK'S Sporting Goods Form 10-Q</x:v>
      </x:c>
      <x:c r="C120" s="39" t="str">
        <x:v>2026-09-03</x:v>
      </x:c>
      <x:c r="D120" s="39" t="str">
        <x:v>2026-10-10</x:v>
      </x:c>
      <x:c r="E120" s="39" t="str">
        <x:v>FY2026 Q2</x:v>
      </x:c>
      <x:c r="F120" s="39" t="str">
        <x:v>document</x:v>
      </x:c>
      <x:c r="G120" s="39" t="str">
        <x:v>official filing</x:v>
      </x:c>
      <x:c r="H120" s="39" t="str">
        <x:v>high</x:v>
      </x:c>
      <x:c r="I120" s="39" t="str">
        <x:v>https://www.sec.gov/Archives/edgar/data/1089063/000108906326000036/dks-20260801.htm</x:v>
      </x:c>
      <x:c r="J120" s="39" t="str">
        <x:v>Form 10-Q; Notes 2, 6, 7, 8, 13 and segment disclosures</x:v>
      </x:c>
    </x:row>
    <x:row r="121">
      <x:c r="A121" s="39" t="str">
        <x:v>dks_close_2026_10_09</x:v>
      </x:c>
      <x:c r="B121" s="39" t="str">
        <x:v>StockAnalysis DKS historical prices</x:v>
      </x:c>
      <x:c r="C121" s="39" t="str">
        <x:v>2026-10-09</x:v>
      </x:c>
      <x:c r="D121" s="39" t="str">
        <x:v>2026-10-10</x:v>
      </x:c>
      <x:c r="E121" s="39" t="str">
        <x:v>2026-10-09</x:v>
      </x:c>
      <x:c r="F121" s="39" t="str">
        <x:v>USD per share</x:v>
      </x:c>
      <x:c r="G121" s="39" t="str">
        <x:v>market data</x:v>
      </x:c>
      <x:c r="H121" s="39" t="str">
        <x:v>medium</x:v>
      </x:c>
      <x:c r="I121" s="39" t="str">
        <x:v>https://stockanalysis.com/stocks/dks/history/</x:v>
      </x:c>
      <x:c r="J121" s="39" t="str">
        <x:v>Historical data row dated October 9, 2026</x:v>
      </x:c>
    </x:row>
    <x:row r="122">
      <x:c r="A122" s="39" t="str">
        <x:v>ust_10y_2026_10_09</x:v>
      </x:c>
      <x:c r="B122" s="39" t="str">
        <x:v>Daily Treasury Par Yield Curve Rates</x:v>
      </x:c>
      <x:c r="C122" s="39" t="str">
        <x:v>2026-10-09</x:v>
      </x:c>
      <x:c r="D122" s="39" t="str">
        <x:v>2026-10-10</x:v>
      </x:c>
      <x:c r="E122" s="39" t="str">
        <x:v>2026-10-09</x:v>
      </x:c>
      <x:c r="F122" s="39" t="str">
        <x:v>decimal yield</x:v>
      </x:c>
      <x:c r="G122" s="39" t="str">
        <x:v>market data</x:v>
      </x:c>
      <x:c r="H122" s="39" t="str">
        <x:v>high</x:v>
      </x:c>
      <x:c r="I122" s="39" t="str">
        <x:v>https://home.treasury.gov/resource-center/data-chart-center/interest-rates/TextView?field_tdr_date_value_month=202610&amp;type=daily_treasury_yield_curve</x:v>
      </x:c>
      <x:c r="J122" s="39" t="str">
        <x:v>October 9, 2026 row; 10-year par yield</x:v>
      </x:c>
    </x:row>
    <x:row r="123">
      <x:c r="A123" s="39" t="str">
        <x:v>foot_locker_close_release</x:v>
      </x:c>
      <x:c r="B123" s="39" t="str">
        <x:v>DICK'S Sporting Goods acquisition close release</x:v>
      </x:c>
      <x:c r="C123" s="39" t="str">
        <x:v>2025-09-08</x:v>
      </x:c>
      <x:c r="D123" s="39" t="str">
        <x:v>2026-10-10</x:v>
      </x:c>
      <x:c r="E123" s="39" t="str">
        <x:v>FY2025</x:v>
      </x:c>
      <x:c r="F123" s="39" t="str">
        <x:v>document</x:v>
      </x:c>
      <x:c r="G123" s="39" t="str">
        <x:v>official company release</x:v>
      </x:c>
      <x:c r="H123" s="39" t="str">
        <x:v>high</x:v>
      </x:c>
      <x:c r="I123" s="39"/>
      <x:c r="J123" s="39" t="str">
        <x:v>Legacy source anchor; exact locator required</x:v>
      </x:c>
    </x:row>
    <x:row r="124">
      <x:c r="A124" s="39" t="str">
        <x:v>manual_research_template</x:v>
      </x:c>
      <x:c r="B124" s="39" t="str">
        <x:v>Internal placeholder pending source verification</x:v>
      </x:c>
      <x:c r="C124" s="39" t="str">
        <x:v>2026-10-10</x:v>
      </x:c>
      <x:c r="D124" s="39" t="str">
        <x:v>2026-10-10</x:v>
      </x:c>
      <x:c r="E124" s="39" t="str">
        <x:v>FY2026-FY2030</x:v>
      </x:c>
      <x:c r="F124" s="39" t="str">
        <x:v>mixed</x:v>
      </x:c>
      <x:c r="G124" s="39" t="str">
        <x:v>internal judgment</x:v>
      </x:c>
      <x:c r="H124" s="39" t="str">
        <x:v>low</x:v>
      </x:c>
      <x:c r="I124" s="39"/>
      <x:c r="J124" s="39" t="str">
        <x:v>Legacy source anchor; exact locator required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Legacy DICK'S operating model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Case Selected: base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Beginning stores</x:v>
      </x:c>
      <x:c r="B6" s="106" t="n">
        <x:f>870</x:f>
        <x:v>870</x:v>
      </x:c>
      <x:c r="C6" s="106" t="n">
        <x:f>B9</x:f>
        <x:v>884</x:v>
      </x:c>
      <x:c r="D6" s="106" t="n">
        <x:f>C9</x:f>
        <x:v>900</x:v>
      </x:c>
      <x:c r="E6" s="106" t="n">
        <x:f>D9</x:f>
        <x:v>919</x:v>
      </x:c>
      <x:c r="F6" s="106" t="n">
        <x:f>E9</x:f>
        <x:v>936</x:v>
      </x:c>
      <x:c r="G6" s="39"/>
      <x:c r="H6" s="39"/>
    </x:row>
    <x:row r="7">
      <x:c r="A7" s="39" t="str">
        <x:v>Openings</x:v>
      </x:c>
      <x:c r="B7" s="107" t="n">
        <x:v>20</x:v>
      </x:c>
      <x:c r="C7" s="107" t="n">
        <x:v>22</x:v>
      </x:c>
      <x:c r="D7" s="107" t="n">
        <x:v>24</x:v>
      </x:c>
      <x:c r="E7" s="107" t="n">
        <x:v>22</x:v>
      </x:c>
      <x:c r="F7" s="107" t="n">
        <x:v>20</x:v>
      </x:c>
      <x:c r="G7" s="39"/>
      <x:c r="H7" s="39"/>
    </x:row>
    <x:row r="8">
      <x:c r="A8" s="39" t="str">
        <x:v>Closures</x:v>
      </x:c>
      <x:c r="B8" s="107" t="n">
        <x:v>6</x:v>
      </x:c>
      <x:c r="C8" s="107" t="n">
        <x:v>6</x:v>
      </x:c>
      <x:c r="D8" s="107" t="n">
        <x:v>5</x:v>
      </x:c>
      <x:c r="E8" s="107" t="n">
        <x:v>5</x:v>
      </x:c>
      <x:c r="F8" s="107" t="n">
        <x:v>5</x:v>
      </x:c>
      <x:c r="G8" s="39"/>
      <x:c r="H8" s="39"/>
    </x:row>
    <x:row r="9">
      <x:c r="A9" s="39" t="str">
        <x:v>Ending stores</x:v>
      </x:c>
      <x:c r="B9" s="106" t="n">
        <x:f>B6+B7-B8</x:f>
        <x:v>884</x:v>
      </x:c>
      <x:c r="C9" s="106" t="n">
        <x:f>C6+C7-C8</x:f>
        <x:v>900</x:v>
      </x:c>
      <x:c r="D9" s="106" t="n">
        <x:f>D6+D7-D8</x:f>
        <x:v>919</x:v>
      </x:c>
      <x:c r="E9" s="106" t="n">
        <x:f>E6+E7-E8</x:f>
        <x:v>936</x:v>
      </x:c>
      <x:c r="F9" s="106" t="n">
        <x:f>F6+F7-F8</x:f>
        <x:v>951</x:v>
      </x:c>
      <x:c r="G9" s="39"/>
      <x:c r="H9" s="39"/>
    </x:row>
    <x:row r="10">
      <x:c r="A10" s="39" t="str">
        <x:v>Average stores</x:v>
      </x:c>
      <x:c r="B10" s="106" t="n">
        <x:f>(B6+B9)/2</x:f>
        <x:v>877</x:v>
      </x:c>
      <x:c r="C10" s="106" t="n">
        <x:f>(C6+C9)/2</x:f>
        <x:v>892</x:v>
      </x:c>
      <x:c r="D10" s="106" t="n">
        <x:f>(D6+D9)/2</x:f>
        <x:v>909.5</x:v>
      </x:c>
      <x:c r="E10" s="106" t="n">
        <x:f>(E6+E9)/2</x:f>
        <x:v>927.5</x:v>
      </x:c>
      <x:c r="F10" s="106" t="n">
        <x:f>(F6+F9)/2</x:f>
        <x:v>943.5</x:v>
      </x:c>
      <x:c r="G10" s="39"/>
      <x:c r="H10" s="39"/>
    </x:row>
    <x:row r="11">
      <x:c r="A11" s="39" t="str">
        <x:v>Comparable sales growth</x:v>
      </x:c>
      <x:c r="B11" s="108" t="n">
        <x:f>'Assumptions &amp; Sources'!B$6</x:f>
        <x:v>0.03</x:v>
      </x:c>
      <x:c r="C11" s="108" t="n">
        <x:f>'Assumptions &amp; Sources'!C$6</x:f>
        <x:v>0.028</x:v>
      </x:c>
      <x:c r="D11" s="108" t="n">
        <x:f>'Assumptions &amp; Sources'!D$6</x:f>
        <x:v>0.025</x:v>
      </x:c>
      <x:c r="E11" s="108" t="n">
        <x:f>'Assumptions &amp; Sources'!E$6</x:f>
        <x:v>0.023</x:v>
      </x:c>
      <x:c r="F11" s="108" t="n">
        <x:f>'Assumptions &amp; Sources'!F$6</x:f>
        <x:v>0.022</x:v>
      </x:c>
      <x:c r="G11" s="39"/>
      <x:c r="H11" s="39"/>
    </x:row>
    <x:row r="12">
      <x:c r="A12" s="39" t="str">
        <x:v>Sales per store</x:v>
      </x:c>
      <x:c r="B12" s="106" t="n">
        <x:f>14.2*(1+B11)</x:f>
        <x:v>14.626</x:v>
      </x:c>
      <x:c r="C12" s="106" t="n">
        <x:f>B12*(1+C11)</x:f>
        <x:v>15.035528</x:v>
      </x:c>
      <x:c r="D12" s="106" t="n">
        <x:f>C12*(1+D11)</x:f>
        <x:v>15.411416199999998</x:v>
      </x:c>
      <x:c r="E12" s="106" t="n">
        <x:f>D12*(1+E11)</x:f>
        <x:v>15.765878772599997</x:v>
      </x:c>
      <x:c r="F12" s="106" t="n">
        <x:f>E12*(1+F11)</x:f>
        <x:v>16.1127281055972</x:v>
      </x:c>
      <x:c r="G12" s="39"/>
      <x:c r="H12" s="39"/>
    </x:row>
    <x:row r="13">
      <x:c r="A13" s="39" t="str">
        <x:v>Store revenue</x:v>
      </x:c>
      <x:c r="B13" s="106" t="n">
        <x:f>B10*B12</x:f>
        <x:v>12827.002</x:v>
      </x:c>
      <x:c r="C13" s="106" t="n">
        <x:f>C10*C12</x:f>
        <x:v>13411.690976</x:v>
      </x:c>
      <x:c r="D13" s="106" t="n">
        <x:f>D10*D12</x:f>
        <x:v>14016.683033899999</x:v>
      </x:c>
      <x:c r="E13" s="106" t="n">
        <x:f>E10*E12</x:f>
        <x:v>14622.852561586496</x:v>
      </x:c>
      <x:c r="F13" s="106" t="n">
        <x:f>F10*F12</x:f>
        <x:v>15202.358967630957</x:v>
      </x:c>
      <x:c r="G13" s="39"/>
      <x:c r="H13" s="39"/>
    </x:row>
    <x:row r="14">
      <x:c r="A14" s="39" t="str">
        <x:v>Digital growth</x:v>
      </x:c>
      <x:c r="B14" s="47" t="n">
        <x:v>0.06</x:v>
      </x:c>
      <x:c r="C14" s="47" t="n">
        <x:v>0.055</x:v>
      </x:c>
      <x:c r="D14" s="47" t="n">
        <x:v>0.05</x:v>
      </x:c>
      <x:c r="E14" s="47" t="n">
        <x:v>0.045</x:v>
      </x:c>
      <x:c r="F14" s="47" t="n">
        <x:v>0.04</x:v>
      </x:c>
      <x:c r="G14" s="39"/>
      <x:c r="H14" s="39"/>
    </x:row>
    <x:row r="15">
      <x:c r="A15" s="39" t="str">
        <x:v>Digital revenue</x:v>
      </x:c>
      <x:c r="B15" s="106" t="n">
        <x:f>2750*(1+B14)</x:f>
        <x:v>2915</x:v>
      </x:c>
      <x:c r="C15" s="106" t="n">
        <x:f>B15*(1+C14)</x:f>
        <x:v>3075.325</x:v>
      </x:c>
      <x:c r="D15" s="106" t="n">
        <x:f>C15*(1+D14)</x:f>
        <x:v>3229.09125</x:v>
      </x:c>
      <x:c r="E15" s="106" t="n">
        <x:f>D15*(1+E14)</x:f>
        <x:v>3374.4003562499997</x:v>
      </x:c>
      <x:c r="F15" s="106" t="n">
        <x:f>E15*(1+F14)</x:f>
        <x:v>3509.3763704999997</x:v>
      </x:c>
      <x:c r="G15" s="39"/>
      <x:c r="H15" s="39"/>
    </x:row>
    <x:row r="16">
      <x:c r="A16" s="80" t="str">
        <x:v>Revenue</x:v>
      </x:c>
      <x:c r="B16" s="109" t="n">
        <x:f>B13+B15</x:f>
        <x:v>15742.002</x:v>
      </x:c>
      <x:c r="C16" s="109" t="n">
        <x:f>C13+C15</x:f>
        <x:v>16487.015976</x:v>
      </x:c>
      <x:c r="D16" s="109" t="n">
        <x:f>D13+D15</x:f>
        <x:v>17245.7742839</x:v>
      </x:c>
      <x:c r="E16" s="109" t="n">
        <x:f>E13+E15</x:f>
        <x:v>17997.252917836497</x:v>
      </x:c>
      <x:c r="F16" s="110" t="n">
        <x:f>F13+F15</x:f>
        <x:v>18711.735338130955</x:v>
      </x:c>
      <x:c r="G16" s="39"/>
      <x:c r="H16" s="39"/>
    </x:row>
    <x:row r="17">
      <x:c r="A17" s="39" t="str">
        <x:v>Gross margin</x:v>
      </x:c>
      <x:c r="B17" s="108" t="n">
        <x:f>'Assumptions &amp; Sources'!B$11</x:f>
        <x:v>0.365</x:v>
      </x:c>
      <x:c r="C17" s="108" t="n">
        <x:f>'Assumptions &amp; Sources'!C$11</x:f>
        <x:v>0.366</x:v>
      </x:c>
      <x:c r="D17" s="108" t="n">
        <x:f>'Assumptions &amp; Sources'!D$11</x:f>
        <x:v>0.367</x:v>
      </x:c>
      <x:c r="E17" s="108" t="n">
        <x:f>'Assumptions &amp; Sources'!E$11</x:f>
        <x:v>0.367</x:v>
      </x:c>
      <x:c r="F17" s="108" t="n">
        <x:f>'Assumptions &amp; Sources'!F$11</x:f>
        <x:v>0.368</x:v>
      </x:c>
      <x:c r="G17" s="39"/>
      <x:c r="H17" s="39"/>
    </x:row>
    <x:row r="18">
      <x:c r="A18" s="39" t="str">
        <x:v>Gross profit</x:v>
      </x:c>
      <x:c r="B18" s="106" t="n">
        <x:f>B16*B17</x:f>
        <x:v>5745.83073</x:v>
      </x:c>
      <x:c r="C18" s="106" t="n">
        <x:f>C16*C17</x:f>
        <x:v>6034.247847215999</x:v>
      </x:c>
      <x:c r="D18" s="106" t="n">
        <x:f>D16*D17</x:f>
        <x:v>6329.199162191299</x:v>
      </x:c>
      <x:c r="E18" s="106" t="n">
        <x:f>E16*E17</x:f>
        <x:v>6604.991820845994</x:v>
      </x:c>
      <x:c r="F18" s="106" t="n">
        <x:f>F16*F17</x:f>
        <x:v>6885.918604432191</x:v>
      </x:c>
      <x:c r="G18" s="39"/>
      <x:c r="H18" s="39"/>
    </x:row>
    <x:row r="19">
      <x:c r="A19" s="39" t="str">
        <x:v>Operating expense %</x:v>
      </x:c>
      <x:c r="B19" s="108" t="n">
        <x:f>'Assumptions &amp; Sources'!B$16</x:f>
        <x:v>0.255</x:v>
      </x:c>
      <x:c r="C19" s="108" t="n">
        <x:f>'Assumptions &amp; Sources'!C$16</x:f>
        <x:v>0.253</x:v>
      </x:c>
      <x:c r="D19" s="108" t="n">
        <x:f>'Assumptions &amp; Sources'!D$16</x:f>
        <x:v>0.252</x:v>
      </x:c>
      <x:c r="E19" s="108" t="n">
        <x:f>'Assumptions &amp; Sources'!E$16</x:f>
        <x:v>0.252</x:v>
      </x:c>
      <x:c r="F19" s="108" t="n">
        <x:f>'Assumptions &amp; Sources'!F$16</x:f>
        <x:v>0.251</x:v>
      </x:c>
      <x:c r="G19" s="39"/>
      <x:c r="H19" s="39"/>
    </x:row>
    <x:row r="20">
      <x:c r="A20" s="39" t="str">
        <x:v>Operating expense</x:v>
      </x:c>
      <x:c r="B20" s="106" t="n">
        <x:f>B16*B19</x:f>
        <x:v>4014.2105100000003</x:v>
      </x:c>
      <x:c r="C20" s="106" t="n">
        <x:f>C16*C19</x:f>
        <x:v>4171.215041928</x:v>
      </x:c>
      <x:c r="D20" s="106" t="n">
        <x:f>D16*D19</x:f>
        <x:v>4345.9351195428</x:v>
      </x:c>
      <x:c r="E20" s="106" t="n">
        <x:f>E16*E19</x:f>
        <x:v>4535.307735294798</x:v>
      </x:c>
      <x:c r="F20" s="106" t="n">
        <x:f>F16*F19</x:f>
        <x:v>4696.64556987087</x:v>
      </x:c>
      <x:c r="G20" s="39"/>
      <x:c r="H20" s="39"/>
    </x:row>
    <x:row r="21">
      <x:c r="A21" s="80" t="str">
        <x:v>Operating income</x:v>
      </x:c>
      <x:c r="B21" s="109" t="n">
        <x:f>B18-B20</x:f>
        <x:v>1731.6202199999993</x:v>
      </x:c>
      <x:c r="C21" s="109" t="n">
        <x:f>C18-C20</x:f>
        <x:v>1863.0328052879995</x:v>
      </x:c>
      <x:c r="D21" s="109" t="n">
        <x:f>D18-D20</x:f>
        <x:v>1983.2640426484995</x:v>
      </x:c>
      <x:c r="E21" s="109" t="n">
        <x:f>E18-E20</x:f>
        <x:v>2069.6840855511964</x:v>
      </x:c>
      <x:c r="F21" s="110" t="n">
        <x:f>F18-F20</x:f>
        <x:v>2189.2730345613218</x:v>
      </x:c>
      <x:c r="G21" s="39"/>
      <x:c r="H21" s="39"/>
    </x:row>
    <x:row r="22">
      <x:c r="A22" s="39" t="str">
        <x:v>Segment capital expenditures</x:v>
      </x:c>
      <x:c r="B22" s="106" t="n">
        <x:f>B9*0.32+B7*18</x:f>
        <x:v>642.88</x:v>
      </x:c>
      <x:c r="C22" s="106" t="n">
        <x:f>C9*0.32+C7*18</x:f>
        <x:v>684</x:v>
      </x:c>
      <x:c r="D22" s="106" t="n">
        <x:f>D9*0.32+D7*18</x:f>
        <x:v>726.0799999999999</x:v>
      </x:c>
      <x:c r="E22" s="106" t="n">
        <x:f>E9*0.32+E7*18</x:f>
        <x:v>695.52</x:v>
      </x:c>
      <x:c r="F22" s="106" t="n">
        <x:f>F9*0.32+F7*18</x:f>
        <x:v>664.3199999999999</x:v>
      </x:c>
      <x:c r="G22" s="39"/>
      <x:c r="H22" s="39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Foot Locker operating model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Cohort outputs feed revenue, profit, closures and capital needs.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Beginning stores</x:v>
      </x:c>
      <x:c r="B6" s="106" t="n">
        <x:f>'Foot Locker Store Cohorts'!B52+0</x:f>
        <x:v>3175</x:v>
      </x:c>
      <x:c r="C6" s="106" t="n">
        <x:f>'Foot Locker Store Cohorts'!C52+SUM($B7:B7)</x:f>
        <x:v>3010</x:v>
      </x:c>
      <x:c r="D6" s="106" t="n">
        <x:f>'Foot Locker Store Cohorts'!D52+SUM($B7:C7)</x:f>
        <x:v>2870</x:v>
      </x:c>
      <x:c r="E6" s="106" t="n">
        <x:f>'Foot Locker Store Cohorts'!E52+SUM($B7:D7)</x:f>
        <x:v>2775</x:v>
      </x:c>
      <x:c r="F6" s="106" t="n">
        <x:f>'Foot Locker Store Cohorts'!F52+SUM($B7:E7)</x:f>
        <x:v>2720</x:v>
      </x:c>
      <x:c r="G6" s="39"/>
      <x:c r="H6" s="39"/>
    </x:row>
    <x:row r="7">
      <x:c r="A7" s="39" t="str">
        <x:v>Openings</x:v>
      </x:c>
      <x:c r="B7" s="107" t="n">
        <x:v>15</x:v>
      </x:c>
      <x:c r="C7" s="107" t="n">
        <x:v>20</x:v>
      </x:c>
      <x:c r="D7" s="107" t="n">
        <x:v>25</x:v>
      </x:c>
      <x:c r="E7" s="107" t="n">
        <x:v>25</x:v>
      </x:c>
      <x:c r="F7" s="107" t="n">
        <x:v>25</x:v>
      </x:c>
      <x:c r="G7" s="39"/>
      <x:c r="H7" s="39"/>
    </x:row>
    <x:row r="8">
      <x:c r="A8" s="39" t="str">
        <x:v>Closures</x:v>
      </x:c>
      <x:c r="B8" s="106" t="n">
        <x:f>'Foot Locker Store Cohorts'!B53</x:f>
        <x:v>180</x:v>
      </x:c>
      <x:c r="C8" s="106" t="n">
        <x:f>'Foot Locker Store Cohorts'!C53</x:f>
        <x:v>160</x:v>
      </x:c>
      <x:c r="D8" s="106" t="n">
        <x:f>'Foot Locker Store Cohorts'!D53</x:f>
        <x:v>120</x:v>
      </x:c>
      <x:c r="E8" s="106" t="n">
        <x:f>'Foot Locker Store Cohorts'!E53</x:f>
        <x:v>80</x:v>
      </x:c>
      <x:c r="F8" s="106" t="n">
        <x:f>'Foot Locker Store Cohorts'!F53</x:f>
        <x:v>60</x:v>
      </x:c>
      <x:c r="G8" s="39"/>
      <x:c r="H8" s="39"/>
    </x:row>
    <x:row r="9">
      <x:c r="A9" s="39" t="str">
        <x:v>Ending stores</x:v>
      </x:c>
      <x:c r="B9" s="106" t="n">
        <x:f>'Foot Locker Store Cohorts'!B54+SUM($B7:B7)</x:f>
        <x:v>3010</x:v>
      </x:c>
      <x:c r="C9" s="106" t="n">
        <x:f>'Foot Locker Store Cohorts'!C54+SUM($B7:C7)</x:f>
        <x:v>2870</x:v>
      </x:c>
      <x:c r="D9" s="106" t="n">
        <x:f>'Foot Locker Store Cohorts'!D54+SUM($B7:D7)</x:f>
        <x:v>2775</x:v>
      </x:c>
      <x:c r="E9" s="106" t="n">
        <x:f>'Foot Locker Store Cohorts'!E54+SUM($B7:E7)</x:f>
        <x:v>2720</x:v>
      </x:c>
      <x:c r="F9" s="106" t="n">
        <x:f>'Foot Locker Store Cohorts'!F54+SUM($B7:F7)</x:f>
        <x:v>2685</x:v>
      </x:c>
      <x:c r="G9" s="39"/>
      <x:c r="H9" s="39"/>
    </x:row>
    <x:row r="10">
      <x:c r="A10" s="39" t="str">
        <x:v>Cohort revenue</x:v>
      </x:c>
      <x:c r="B10" s="106" t="n">
        <x:f>'Foot Locker Store Cohorts'!B55</x:f>
        <x:v>5900.592049999999</x:v>
      </x:c>
      <x:c r="C10" s="106" t="n">
        <x:f>'Foot Locker Store Cohorts'!C55</x:f>
        <x:v>5792.779994999998</x:v>
      </x:c>
      <x:c r="D10" s="106" t="n">
        <x:f>'Foot Locker Store Cohorts'!D55</x:f>
        <x:v>5749.061894156248</x:v>
      </x:c>
      <x:c r="E10" s="106" t="n">
        <x:f>'Foot Locker Store Cohorts'!E55</x:f>
        <x:v>5749.513335838124</x:v>
      </x:c>
      <x:c r="F10" s="106" t="n">
        <x:f>'Foot Locker Store Cohorts'!F55</x:f>
        <x:v>5776.916349673235</x:v>
      </x:c>
      <x:c r="G10" s="39"/>
      <x:c r="H10" s="39"/>
    </x:row>
    <x:row r="11">
      <x:c r="A11" s="39" t="str">
        <x:v>New-store revenue</x:v>
      </x:c>
      <x:c r="B11" s="106" t="n">
        <x:f>B7*1.85*0.5</x:f>
        <x:v>13.875</x:v>
      </x:c>
      <x:c r="C11" s="106" t="n">
        <x:f>C7*1.85*0.5</x:f>
        <x:v>18.5</x:v>
      </x:c>
      <x:c r="D11" s="106" t="n">
        <x:f>D7*1.85*0.5</x:f>
        <x:v>23.125</x:v>
      </x:c>
      <x:c r="E11" s="106" t="n">
        <x:f>E7*1.85*0.5</x:f>
        <x:v>23.125</x:v>
      </x:c>
      <x:c r="F11" s="106" t="n">
        <x:f>F7*1.85*0.5</x:f>
        <x:v>23.125</x:v>
      </x:c>
      <x:c r="G11" s="39"/>
      <x:c r="H11" s="39"/>
    </x:row>
    <x:row r="12">
      <x:c r="A12" s="39" t="str">
        <x:v>Transferred sales</x:v>
      </x:c>
      <x:c r="B12" s="106" t="n">
        <x:f>'Foot Locker Store Cohorts'!B58</x:f>
        <x:v>52.574549999999995</x:v>
      </x:c>
      <x:c r="C12" s="106" t="n">
        <x:f>'Foot Locker Store Cohorts'!C58</x:f>
        <x:v>101.20373249999997</x:v>
      </x:c>
      <x:c r="D12" s="106" t="n">
        <x:f>'Foot Locker Store Cohorts'!D58</x:f>
        <x:v>139.24434459375</x:v>
      </x:c>
      <x:c r="E12" s="106" t="n">
        <x:f>'Foot Locker Store Cohorts'!E58</x:f>
        <x:v>169.39299597187497</x:v>
      </x:c>
      <x:c r="F12" s="106" t="n">
        <x:f>'Foot Locker Store Cohorts'!F58</x:f>
        <x:v>196.49022037177497</x:v>
      </x:c>
      <x:c r="G12" s="39"/>
      <x:c r="H12" s="39"/>
    </x:row>
    <x:row r="13">
      <x:c r="A13" s="39" t="str">
        <x:v>Digital growth</x:v>
      </x:c>
      <x:c r="B13" s="107" t="n">
        <x:v>0.02</x:v>
      </x:c>
      <x:c r="C13" s="107" t="n">
        <x:v>0.035</x:v>
      </x:c>
      <x:c r="D13" s="107" t="n">
        <x:v>0.045</x:v>
      </x:c>
      <x:c r="E13" s="107" t="n">
        <x:v>0.05</x:v>
      </x:c>
      <x:c r="F13" s="107" t="n">
        <x:v>0.05</x:v>
      </x:c>
      <x:c r="G13" s="39"/>
      <x:c r="H13" s="39"/>
    </x:row>
    <x:row r="14">
      <x:c r="A14" s="39" t="str">
        <x:v>Digital revenue</x:v>
      </x:c>
      <x:c r="B14" s="106" t="n">
        <x:f>1625*(1+B13)</x:f>
        <x:v>1657.5</x:v>
      </x:c>
      <x:c r="C14" s="106" t="n">
        <x:f>B14*(1+C13)</x:f>
        <x:v>1715.5124999999998</x:v>
      </x:c>
      <x:c r="D14" s="106" t="n">
        <x:f>C14*(1+D13)</x:f>
        <x:v>1792.7105624999997</x:v>
      </x:c>
      <x:c r="E14" s="106" t="n">
        <x:f>D14*(1+E13)</x:f>
        <x:v>1882.3460906249998</x:v>
      </x:c>
      <x:c r="F14" s="106" t="n">
        <x:f>E14*(1+F13)</x:f>
        <x:v>1976.4633951562498</x:v>
      </x:c>
      <x:c r="G14" s="39"/>
      <x:c r="H14" s="39"/>
    </x:row>
    <x:row r="15">
      <x:c r="A15" s="80" t="str">
        <x:v>Revenue</x:v>
      </x:c>
      <x:c r="B15" s="109" t="n">
        <x:f>B10+B11+B14</x:f>
        <x:v>7571.967049999999</x:v>
      </x:c>
      <x:c r="C15" s="109" t="n">
        <x:f>C10+C11+C14</x:f>
        <x:v>7526.792494999998</x:v>
      </x:c>
      <x:c r="D15" s="109" t="n">
        <x:f>D10+D11+D14</x:f>
        <x:v>7564.897456656247</x:v>
      </x:c>
      <x:c r="E15" s="109" t="n">
        <x:f>E10+E11+E14</x:f>
        <x:v>7654.984426463123</x:v>
      </x:c>
      <x:c r="F15" s="110" t="n">
        <x:f>F10+F11+F14</x:f>
        <x:v>7776.504744829485</x:v>
      </x:c>
      <x:c r="G15" s="39"/>
      <x:c r="H15" s="39"/>
    </x:row>
    <x:row r="16">
      <x:c r="A16" s="39" t="str">
        <x:v>Gross margin</x:v>
      </x:c>
      <x:c r="B16" s="108" t="n">
        <x:f>'Assumptions &amp; Sources'!B$26</x:f>
        <x:v>0.287</x:v>
      </x:c>
      <x:c r="C16" s="108" t="n">
        <x:f>'Assumptions &amp; Sources'!C$26</x:f>
        <x:v>0.295</x:v>
      </x:c>
      <x:c r="D16" s="108" t="n">
        <x:f>'Assumptions &amp; Sources'!D$26</x:f>
        <x:v>0.303</x:v>
      </x:c>
      <x:c r="E16" s="108" t="n">
        <x:f>'Assumptions &amp; Sources'!E$26</x:f>
        <x:v>0.309</x:v>
      </x:c>
      <x:c r="F16" s="108" t="n">
        <x:f>'Assumptions &amp; Sources'!F$26</x:f>
        <x:v>0.313</x:v>
      </x:c>
      <x:c r="G16" s="39"/>
      <x:c r="H16" s="39"/>
    </x:row>
    <x:row r="17">
      <x:c r="A17" s="39" t="str">
        <x:v>Gross profit</x:v>
      </x:c>
      <x:c r="B17" s="106" t="n">
        <x:f>B15*B16</x:f>
        <x:v>2173.1545433499996</x:v>
      </x:c>
      <x:c r="C17" s="106" t="n">
        <x:f>C15*C16</x:f>
        <x:v>2220.403786024999</x:v>
      </x:c>
      <x:c r="D17" s="106" t="n">
        <x:f>D15*D16</x:f>
        <x:v>2292.1639293668427</x:v>
      </x:c>
      <x:c r="E17" s="106" t="n">
        <x:f>E15*E16</x:f>
        <x:v>2365.390187777105</x:v>
      </x:c>
      <x:c r="F17" s="106" t="n">
        <x:f>F15*F16</x:f>
        <x:v>2434.045985131629</x:v>
      </x:c>
      <x:c r="G17" s="39"/>
      <x:c r="H17" s="39"/>
    </x:row>
    <x:row r="18">
      <x:c r="A18" s="39" t="str">
        <x:v>Operating expense %</x:v>
      </x:c>
      <x:c r="B18" s="108" t="n">
        <x:f>'Assumptions &amp; Sources'!B$31</x:f>
        <x:v>0.295</x:v>
      </x:c>
      <x:c r="C18" s="108" t="n">
        <x:f>'Assumptions &amp; Sources'!C$31</x:f>
        <x:v>0.288</x:v>
      </x:c>
      <x:c r="D18" s="108" t="n">
        <x:f>'Assumptions &amp; Sources'!D$31</x:f>
        <x:v>0.281</x:v>
      </x:c>
      <x:c r="E18" s="108" t="n">
        <x:f>'Assumptions &amp; Sources'!E$31</x:f>
        <x:v>0.276</x:v>
      </x:c>
      <x:c r="F18" s="108" t="n">
        <x:f>'Assumptions &amp; Sources'!F$31</x:f>
        <x:v>0.273</x:v>
      </x:c>
      <x:c r="G18" s="39"/>
      <x:c r="H18" s="39"/>
    </x:row>
    <x:row r="19">
      <x:c r="A19" s="39" t="str">
        <x:v>Contribution profit before closure costs</x:v>
      </x:c>
      <x:c r="B19" s="106" t="n">
        <x:f>'Foot Locker Store Cohorts'!B56+(B11+B14)*(B16-B18)</x:f>
        <x:v>362.4135987499999</x:v>
      </x:c>
      <x:c r="C19" s="106" t="n">
        <x:f>'Foot Locker Store Cohorts'!C56+(C11+C14)*(C16-C18)</x:f>
        <x:v>444.35883762499986</x:v>
      </x:c>
      <x:c r="D19" s="106" t="n">
        <x:f>'Foot Locker Store Cohorts'!D56+(D11+D14)*(D16-D18)</x:f>
        <x:v>528.5942229315622</x:v>
      </x:c>
      <x:c r="E19" s="106" t="n">
        <x:f>'Foot Locker Store Cohorts'!E56+(E11+E14)*(E16-E18)</x:f>
        <x:v>585.6628583398029</x:v>
      </x:c>
      <x:c r="F19" s="106" t="n">
        <x:f>'Foot Locker Store Cohorts'!F56+(F11+F14)*(F16-F18)</x:f>
        <x:v>625.9261232017542</x:v>
      </x:c>
      <x:c r="G19" s="39"/>
      <x:c r="H19" s="39"/>
    </x:row>
    <x:row r="20">
      <x:c r="A20" s="39" t="str">
        <x:v>Closure cost</x:v>
      </x:c>
      <x:c r="B20" s="106" t="n">
        <x:f>'Foot Locker Store Cohorts'!B57</x:f>
        <x:v>42</x:v>
      </x:c>
      <x:c r="C20" s="106" t="n">
        <x:f>'Foot Locker Store Cohorts'!C57</x:f>
        <x:v>37</x:v>
      </x:c>
      <x:c r="D20" s="106" t="n">
        <x:f>'Foot Locker Store Cohorts'!D57</x:f>
        <x:v>27.75</x:v>
      </x:c>
      <x:c r="E20" s="106" t="n">
        <x:f>'Foot Locker Store Cohorts'!E57</x:f>
        <x:v>18.25</x:v>
      </x:c>
      <x:c r="F20" s="106" t="n">
        <x:f>'Foot Locker Store Cohorts'!F57</x:f>
        <x:v>13.25</x:v>
      </x:c>
      <x:c r="G20" s="39"/>
      <x:c r="H20" s="39"/>
    </x:row>
    <x:row r="21">
      <x:c r="A21" s="80" t="str">
        <x:v>Operating income</x:v>
      </x:c>
      <x:c r="B21" s="109" t="n">
        <x:f>B19-B20</x:f>
        <x:v>320.4135987499999</x:v>
      </x:c>
      <x:c r="C21" s="109" t="n">
        <x:f>C19-C20</x:f>
        <x:v>407.35883762499986</x:v>
      </x:c>
      <x:c r="D21" s="109" t="n">
        <x:f>D19-D20</x:f>
        <x:v>500.8442229315622</x:v>
      </x:c>
      <x:c r="E21" s="109" t="n">
        <x:f>E19-E20</x:f>
        <x:v>567.4128583398029</x:v>
      </x:c>
      <x:c r="F21" s="110" t="n">
        <x:f>F19-F20</x:f>
        <x:v>612.6761232017542</x:v>
      </x:c>
      <x:c r="G21" s="39"/>
      <x:c r="H21" s="39"/>
    </x:row>
    <x:row r="22">
      <x:c r="A22" s="39" t="str">
        <x:v>Segment capital expenditures</x:v>
      </x:c>
      <x:c r="B22" s="106" t="n">
        <x:f>B9*0.08+B7*2.5</x:f>
        <x:v>278.3</x:v>
      </x:c>
      <x:c r="C22" s="106" t="n">
        <x:f>C9*0.08+C7*2.5</x:f>
        <x:v>279.6</x:v>
      </x:c>
      <x:c r="D22" s="106" t="n">
        <x:f>D9*0.08+D7*2.5</x:f>
        <x:v>284.5</x:v>
      </x:c>
      <x:c r="E22" s="106" t="n">
        <x:f>E9*0.08+E7*2.5</x:f>
        <x:v>280.1</x:v>
      </x:c>
      <x:c r="F22" s="106" t="n">
        <x:f>F9*0.08+F7*2.5</x:f>
        <x:v>277.3</x:v>
      </x:c>
      <x:c r="G22" s="39"/>
      <x:c r="H22" s="39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Foot Locker store cohorts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Cohort closures, retained sales and closure costs directly feed the segment forecast.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80" t="str">
        <x:v>Healthy existing stores</x:v>
      </x:c>
      <x:c r="B6" s="115"/>
      <x:c r="C6" s="115"/>
      <x:c r="D6" s="115"/>
      <x:c r="E6" s="115"/>
      <x:c r="F6" s="116"/>
      <x:c r="G6" s="39"/>
      <x:c r="H6" s="39"/>
    </x:row>
    <x:row r="7">
      <x:c r="A7" s="39" t="str">
        <x:v>  Beginning stores</x:v>
      </x:c>
      <x:c r="B7" s="106" t="n">
        <x:f>2100</x:f>
        <x:v>2100</x:v>
      </x:c>
      <x:c r="C7" s="106" t="n">
        <x:f>B9</x:f>
        <x:v>2080</x:v>
      </x:c>
      <x:c r="D7" s="106" t="n">
        <x:f>C9</x:f>
        <x:v>2060</x:v>
      </x:c>
      <x:c r="E7" s="106" t="n">
        <x:f>D9</x:f>
        <x:v>2045</x:v>
      </x:c>
      <x:c r="F7" s="106" t="n">
        <x:f>E9</x:f>
        <x:v>2035</x:v>
      </x:c>
      <x:c r="G7" s="39"/>
      <x:c r="H7" s="39"/>
    </x:row>
    <x:row r="8">
      <x:c r="A8" s="39" t="str">
        <x:v>  Closures</x:v>
      </x:c>
      <x:c r="B8" s="85" t="n">
        <x:v>20</x:v>
      </x:c>
      <x:c r="C8" s="85" t="n">
        <x:v>20</x:v>
      </x:c>
      <x:c r="D8" s="85" t="n">
        <x:v>15</x:v>
      </x:c>
      <x:c r="E8" s="85" t="n">
        <x:v>10</x:v>
      </x:c>
      <x:c r="F8" s="85" t="n">
        <x:v>10</x:v>
      </x:c>
      <x:c r="G8" s="39"/>
      <x:c r="H8" s="39"/>
    </x:row>
    <x:row r="9">
      <x:c r="A9" s="39" t="str">
        <x:v>  Ending stores</x:v>
      </x:c>
      <x:c r="B9" s="106" t="n">
        <x:f>B7-B8</x:f>
        <x:v>2080</x:v>
      </x:c>
      <x:c r="C9" s="106" t="n">
        <x:f>C7-C8</x:f>
        <x:v>2060</x:v>
      </x:c>
      <x:c r="D9" s="106" t="n">
        <x:f>D7-D8</x:f>
        <x:v>2045</x:v>
      </x:c>
      <x:c r="E9" s="106" t="n">
        <x:f>E7-E8</x:f>
        <x:v>2035</x:v>
      </x:c>
      <x:c r="F9" s="106" t="n">
        <x:f>F7-F8</x:f>
        <x:v>2025</x:v>
      </x:c>
      <x:c r="G9" s="39"/>
      <x:c r="H9" s="39"/>
    </x:row>
    <x:row r="10">
      <x:c r="A10" s="39" t="str">
        <x:v>  Comparable sales growth</x:v>
      </x:c>
      <x:c r="B10" s="47" t="n">
        <x:v>0.005</x:v>
      </x:c>
      <x:c r="C10" s="47" t="n">
        <x:v>0.015</x:v>
      </x:c>
      <x:c r="D10" s="47" t="n">
        <x:v>0.02</x:v>
      </x:c>
      <x:c r="E10" s="47" t="n">
        <x:v>0.02</x:v>
      </x:c>
      <x:c r="F10" s="47" t="n">
        <x:v>0.02</x:v>
      </x:c>
      <x:c r="G10" s="39"/>
      <x:c r="H10" s="39"/>
    </x:row>
    <x:row r="11">
      <x:c r="A11" s="39" t="str">
        <x:v>  Sales per store</x:v>
      </x:c>
      <x:c r="B11" s="106" t="n">
        <x:f>2.05*(1+B10)</x:f>
        <x:v>2.0602499999999995</x:v>
      </x:c>
      <x:c r="C11" s="106" t="n">
        <x:f>B11*(1+C10)</x:f>
        <x:v>2.0911537499999993</x:v>
      </x:c>
      <x:c r="D11" s="106" t="n">
        <x:f>C11*(1+D10)</x:f>
        <x:v>2.132976824999999</x:v>
      </x:c>
      <x:c r="E11" s="106" t="n">
        <x:f>D11*(1+E10)</x:f>
        <x:v>2.175636361499999</x:v>
      </x:c>
      <x:c r="F11" s="106" t="n">
        <x:f>E11*(1+F10)</x:f>
        <x:v>2.219149088729999</x:v>
      </x:c>
      <x:c r="G11" s="39"/>
      <x:c r="H11" s="39"/>
    </x:row>
    <x:row r="12">
      <x:c r="A12" s="39" t="str">
        <x:v>  Lost sales</x:v>
      </x:c>
      <x:c r="B12" s="106" t="n">
        <x:f>B8*B11</x:f>
        <x:v>41.20499999999999</x:v>
      </x:c>
      <x:c r="C12" s="106" t="n">
        <x:f>C8*C11</x:f>
        <x:v>41.82307499999999</x:v>
      </x:c>
      <x:c r="D12" s="106" t="n">
        <x:f>D8*D11</x:f>
        <x:v>31.994652374999987</x:v>
      </x:c>
      <x:c r="E12" s="106" t="n">
        <x:f>E8*E11</x:f>
        <x:v>21.75636361499999</x:v>
      </x:c>
      <x:c r="F12" s="106" t="n">
        <x:f>F8*F11</x:f>
        <x:v>22.19149088729999</x:v>
      </x:c>
      <x:c r="G12" s="39"/>
      <x:c r="H12" s="39"/>
    </x:row>
    <x:row r="13">
      <x:c r="A13" s="39" t="str">
        <x:v>  Retained sales</x:v>
      </x:c>
      <x:c r="B13" s="106" t="n">
        <x:f>B12*0.25</x:f>
        <x:v>10.301249999999998</x:v>
      </x:c>
      <x:c r="C13" s="106" t="n">
        <x:f>C12*0.25</x:f>
        <x:v>10.455768749999997</x:v>
      </x:c>
      <x:c r="D13" s="106" t="n">
        <x:f>D12*0.25</x:f>
        <x:v>7.998663093749997</x:v>
      </x:c>
      <x:c r="E13" s="106" t="n">
        <x:f>E12*0.25</x:f>
        <x:v>5.439090903749998</x:v>
      </x:c>
      <x:c r="F13" s="106" t="n">
        <x:f>F12*0.25</x:f>
        <x:v>5.547872721824998</x:v>
      </x:c>
      <x:c r="G13" s="39"/>
      <x:c r="H13" s="39"/>
    </x:row>
    <x:row r="14">
      <x:c r="A14" s="39" t="str">
        <x:v>  Transferred sales balance</x:v>
      </x:c>
      <x:c r="B14" s="106" t="n">
        <x:f>B13</x:f>
        <x:v>10.301249999999998</x:v>
      </x:c>
      <x:c r="C14" s="106" t="n">
        <x:f>B14*(1+C10)+C13</x:f>
        <x:v>20.911537499999994</x:v>
      </x:c>
      <x:c r="D14" s="106" t="n">
        <x:f>C14*(1+D10)+D13</x:f>
        <x:v>29.32843134374999</x:v>
      </x:c>
      <x:c r="E14" s="106" t="n">
        <x:f>D14*(1+E10)+E13</x:f>
        <x:v>35.35409087437499</x:v>
      </x:c>
      <x:c r="F14" s="106" t="n">
        <x:f>E14*(1+F10)+F13</x:f>
        <x:v>41.60904541368748</x:v>
      </x:c>
      <x:c r="G14" s="39"/>
      <x:c r="H14" s="39"/>
    </x:row>
    <x:row r="15">
      <x:c r="A15" s="39" t="str">
        <x:v>  Revenue</x:v>
      </x:c>
      <x:c r="B15" s="106" t="n">
        <x:f>((B7+B9)/2)*B11+B14</x:f>
        <x:v>4316.223749999999</x:v>
      </x:c>
      <x:c r="C15" s="106" t="n">
        <x:f>((C7+C9)/2)*C11+C14</x:f>
        <x:v>4349.599799999998</x:v>
      </x:c>
      <x:c r="D15" s="106" t="n">
        <x:f>((D7+D9)/2)*D11+D14</x:f>
        <x:v>4407.263364656248</x:v>
      </x:c>
      <x:c r="E15" s="106" t="n">
        <x:f>((E7+E9)/2)*E11+E14</x:f>
        <x:v>4473.652268334374</x:v>
      </x:c>
      <x:c r="F15" s="106" t="n">
        <x:f>((F7+F9)/2)*F11+F14</x:f>
        <x:v>4546.4816955355855</x:v>
      </x:c>
      <x:c r="G15" s="39"/>
      <x:c r="H15" s="39"/>
    </x:row>
    <x:row r="16">
      <x:c r="A16" s="39" t="str">
        <x:v>  Contribution margin</x:v>
      </x:c>
      <x:c r="B16" s="47" t="n">
        <x:v>0.075</x:v>
      </x:c>
      <x:c r="C16" s="47" t="n">
        <x:v>0.082</x:v>
      </x:c>
      <x:c r="D16" s="47" t="n">
        <x:v>0.09</x:v>
      </x:c>
      <x:c r="E16" s="47" t="n">
        <x:v>0.095</x:v>
      </x:c>
      <x:c r="F16" s="47" t="n">
        <x:v>0.098</x:v>
      </x:c>
      <x:c r="G16" s="39"/>
      <x:c r="H16" s="39"/>
    </x:row>
    <x:row r="17">
      <x:c r="A17" s="39" t="str">
        <x:v>  Contribution profit</x:v>
      </x:c>
      <x:c r="B17" s="106" t="n">
        <x:f>B15*B16</x:f>
        <x:v>323.71678124999994</x:v>
      </x:c>
      <x:c r="C17" s="106" t="n">
        <x:f>C15*C16</x:f>
        <x:v>356.6671835999999</x:v>
      </x:c>
      <x:c r="D17" s="106" t="n">
        <x:f>D15*D16</x:f>
        <x:v>396.6537028190623</x:v>
      </x:c>
      <x:c r="E17" s="106" t="n">
        <x:f>E15*E16</x:f>
        <x:v>424.99696549176554</x:v>
      </x:c>
      <x:c r="F17" s="106" t="n">
        <x:f>F15*F16</x:f>
        <x:v>445.55520616248737</x:v>
      </x:c>
      <x:c r="G17" s="39"/>
      <x:c r="H17" s="39"/>
    </x:row>
    <x:row r="18">
      <x:c r="A18" s="39" t="str">
        <x:v>  Closure cost</x:v>
      </x:c>
      <x:c r="B18" s="106" t="n">
        <x:f>B8*0.15</x:f>
        <x:v>3</x:v>
      </x:c>
      <x:c r="C18" s="106" t="n">
        <x:f>C8*0.15</x:f>
        <x:v>3</x:v>
      </x:c>
      <x:c r="D18" s="106" t="n">
        <x:f>D8*0.15</x:f>
        <x:v>2.25</x:v>
      </x:c>
      <x:c r="E18" s="106" t="n">
        <x:f>E8*0.15</x:f>
        <x:v>1.5</x:v>
      </x:c>
      <x:c r="F18" s="106" t="n">
        <x:f>F8*0.15</x:f>
        <x:v>1.5</x:v>
      </x:c>
      <x:c r="G18" s="39"/>
      <x:c r="H18" s="39"/>
    </x:row>
    <x:row r="19">
      <x:c r="A19" s="39" t="str">
        <x:v>  Cash flow after closure cost</x:v>
      </x:c>
      <x:c r="B19" s="106" t="n">
        <x:f>B17-B18</x:f>
        <x:v>320.71678124999994</x:v>
      </x:c>
      <x:c r="C19" s="106" t="n">
        <x:f>C17-C18</x:f>
        <x:v>353.6671835999999</x:v>
      </x:c>
      <x:c r="D19" s="106" t="n">
        <x:f>D17-D18</x:f>
        <x:v>394.4037028190623</x:v>
      </x:c>
      <x:c r="E19" s="106" t="n">
        <x:f>E17-E18</x:f>
        <x:v>423.49696549176554</x:v>
      </x:c>
      <x:c r="F19" s="106" t="n">
        <x:f>F17-F18</x:f>
        <x:v>444.05520616248737</x:v>
      </x:c>
      <x:c r="G19" s="39"/>
      <x:c r="H19" s="39"/>
    </x:row>
    <x:row r="20">
      <x:c r="A20" s="39"/>
      <x:c r="B20" s="106"/>
      <x:c r="C20" s="106"/>
      <x:c r="D20" s="106"/>
      <x:c r="E20" s="106"/>
      <x:c r="F20" s="106"/>
      <x:c r="G20" s="39"/>
      <x:c r="H20" s="39"/>
    </x:row>
    <x:row r="21">
      <x:c r="A21" s="80" t="str">
        <x:v>Underperforming closure candidates</x:v>
      </x:c>
      <x:c r="B21" s="115"/>
      <x:c r="C21" s="115"/>
      <x:c r="D21" s="115"/>
      <x:c r="E21" s="115"/>
      <x:c r="F21" s="116"/>
      <x:c r="G21" s="39"/>
      <x:c r="H21" s="39"/>
    </x:row>
    <x:row r="22">
      <x:c r="A22" s="39" t="str">
        <x:v>  Beginning stores</x:v>
      </x:c>
      <x:c r="B22" s="106" t="n">
        <x:f>725</x:f>
        <x:v>725</x:v>
      </x:c>
      <x:c r="C22" s="106" t="n">
        <x:f>B24</x:f>
        <x:v>585</x:v>
      </x:c>
      <x:c r="D22" s="106" t="n">
        <x:f>C24</x:f>
        <x:v>465</x:v>
      </x:c>
      <x:c r="E22" s="106" t="n">
        <x:f>D24</x:f>
        <x:v>375</x:v>
      </x:c>
      <x:c r="F22" s="106" t="n">
        <x:f>E24</x:f>
        <x:v>320</x:v>
      </x:c>
      <x:c r="G22" s="39"/>
      <x:c r="H22" s="39"/>
    </x:row>
    <x:row r="23">
      <x:c r="A23" s="39" t="str">
        <x:v>  Closures</x:v>
      </x:c>
      <x:c r="B23" s="85" t="n">
        <x:v>140</x:v>
      </x:c>
      <x:c r="C23" s="85" t="n">
        <x:v>120</x:v>
      </x:c>
      <x:c r="D23" s="85" t="n">
        <x:v>90</x:v>
      </x:c>
      <x:c r="E23" s="85" t="n">
        <x:v>55</x:v>
      </x:c>
      <x:c r="F23" s="85" t="n">
        <x:v>35</x:v>
      </x:c>
      <x:c r="G23" s="39"/>
      <x:c r="H23" s="39"/>
    </x:row>
    <x:row r="24">
      <x:c r="A24" s="39" t="str">
        <x:v>  Ending stores</x:v>
      </x:c>
      <x:c r="B24" s="106" t="n">
        <x:f>B22-B23</x:f>
        <x:v>585</x:v>
      </x:c>
      <x:c r="C24" s="106" t="n">
        <x:f>C22-C23</x:f>
        <x:v>465</x:v>
      </x:c>
      <x:c r="D24" s="106" t="n">
        <x:f>D22-D23</x:f>
        <x:v>375</x:v>
      </x:c>
      <x:c r="E24" s="106" t="n">
        <x:f>E22-E23</x:f>
        <x:v>320</x:v>
      </x:c>
      <x:c r="F24" s="106" t="n">
        <x:f>F22-F23</x:f>
        <x:v>285</x:v>
      </x:c>
      <x:c r="G24" s="39"/>
      <x:c r="H24" s="39"/>
    </x:row>
    <x:row r="25">
      <x:c r="A25" s="39" t="str">
        <x:v>  Comparable sales growth</x:v>
      </x:c>
      <x:c r="B25" s="47" t="n">
        <x:v>-0.04</x:v>
      </x:c>
      <x:c r="C25" s="47" t="n">
        <x:v>-0.025</x:v>
      </x:c>
      <x:c r="D25" s="47" t="n">
        <x:v>-0.01</x:v>
      </x:c>
      <x:c r="E25" s="47" t="n">
        <x:v>0</x:v>
      </x:c>
      <x:c r="F25" s="47" t="n">
        <x:v>0</x:v>
      </x:c>
      <x:c r="G25" s="39"/>
      <x:c r="H25" s="39"/>
    </x:row>
    <x:row r="26">
      <x:c r="A26" s="39" t="str">
        <x:v>  Sales per store</x:v>
      </x:c>
      <x:c r="B26" s="106" t="n">
        <x:f>1.15*(1+B25)</x:f>
        <x:v>1.1039999999999999</x:v>
      </x:c>
      <x:c r="C26" s="106" t="n">
        <x:f>B26*(1+C25)</x:f>
        <x:v>1.0763999999999998</x:v>
      </x:c>
      <x:c r="D26" s="106" t="n">
        <x:f>C26*(1+D25)</x:f>
        <x:v>1.0656359999999998</x:v>
      </x:c>
      <x:c r="E26" s="106" t="n">
        <x:f>D26*(1+E25)</x:f>
        <x:v>1.0656359999999998</x:v>
      </x:c>
      <x:c r="F26" s="106" t="n">
        <x:f>E26*(1+F25)</x:f>
        <x:v>1.0656359999999998</x:v>
      </x:c>
      <x:c r="G26" s="39"/>
      <x:c r="H26" s="39"/>
    </x:row>
    <x:row r="27">
      <x:c r="A27" s="39" t="str">
        <x:v>  Lost sales</x:v>
      </x:c>
      <x:c r="B27" s="106" t="n">
        <x:f>B23*B26</x:f>
        <x:v>154.55999999999997</x:v>
      </x:c>
      <x:c r="C27" s="106" t="n">
        <x:f>C23*C26</x:f>
        <x:v>129.16799999999998</x:v>
      </x:c>
      <x:c r="D27" s="106" t="n">
        <x:f>D23*D26</x:f>
        <x:v>95.90723999999999</x:v>
      </x:c>
      <x:c r="E27" s="106" t="n">
        <x:f>E23*E26</x:f>
        <x:v>58.609979999999986</x:v>
      </x:c>
      <x:c r="F27" s="106" t="n">
        <x:f>F23*F26</x:f>
        <x:v>37.297259999999994</x:v>
      </x:c>
      <x:c r="G27" s="39"/>
      <x:c r="H27" s="39"/>
    </x:row>
    <x:row r="28">
      <x:c r="A28" s="39" t="str">
        <x:v>  Retained sales</x:v>
      </x:c>
      <x:c r="B28" s="106" t="n">
        <x:f>B27*0.18</x:f>
        <x:v>27.820799999999995</x:v>
      </x:c>
      <x:c r="C28" s="106" t="n">
        <x:f>C27*0.18</x:f>
        <x:v>23.250239999999994</x:v>
      </x:c>
      <x:c r="D28" s="106" t="n">
        <x:f>D27*0.18</x:f>
        <x:v>17.263303199999996</x:v>
      </x:c>
      <x:c r="E28" s="106" t="n">
        <x:f>E27*0.18</x:f>
        <x:v>10.549796399999996</x:v>
      </x:c>
      <x:c r="F28" s="106" t="n">
        <x:f>F27*0.18</x:f>
        <x:v>6.713506799999998</x:v>
      </x:c>
      <x:c r="G28" s="39"/>
      <x:c r="H28" s="39"/>
    </x:row>
    <x:row r="29">
      <x:c r="A29" s="39" t="str">
        <x:v>  Transferred sales balance</x:v>
      </x:c>
      <x:c r="B29" s="106" t="n">
        <x:f>B28</x:f>
        <x:v>27.820799999999995</x:v>
      </x:c>
      <x:c r="C29" s="106" t="n">
        <x:f>B29*(1+C25)+C28</x:f>
        <x:v>50.37551999999999</x:v>
      </x:c>
      <x:c r="D29" s="106" t="n">
        <x:f>C29*(1+D25)+D28</x:f>
        <x:v>67.13506799999999</x:v>
      </x:c>
      <x:c r="E29" s="106" t="n">
        <x:f>D29*(1+E25)+E28</x:f>
        <x:v>77.68486439999998</x:v>
      </x:c>
      <x:c r="F29" s="106" t="n">
        <x:f>E29*(1+F25)+F28</x:f>
        <x:v>84.39837119999999</x:v>
      </x:c>
      <x:c r="G29" s="39"/>
      <x:c r="H29" s="39"/>
    </x:row>
    <x:row r="30">
      <x:c r="A30" s="39" t="str">
        <x:v>  Revenue</x:v>
      </x:c>
      <x:c r="B30" s="106" t="n">
        <x:f>((B22+B24)/2)*B26+B29</x:f>
        <x:v>750.9407999999999</x:v>
      </x:c>
      <x:c r="C30" s="106" t="n">
        <x:f>((C22+C24)/2)*C26+C29</x:f>
        <x:v>615.4855199999998</x:v>
      </x:c>
      <x:c r="D30" s="106" t="n">
        <x:f>((D22+D24)/2)*D26+D29</x:f>
        <x:v>514.702188</x:v>
      </x:c>
      <x:c r="E30" s="106" t="n">
        <x:f>((E22+E24)/2)*E26+E29</x:f>
        <x:v>447.99337439999994</x:v>
      </x:c>
      <x:c r="F30" s="106" t="n">
        <x:f>((F22+F24)/2)*F26+F29</x:f>
        <x:v>406.75326119999994</x:v>
      </x:c>
      <x:c r="G30" s="39"/>
      <x:c r="H30" s="39"/>
    </x:row>
    <x:row r="31">
      <x:c r="A31" s="39" t="str">
        <x:v>  Contribution margin</x:v>
      </x:c>
      <x:c r="B31" s="47" t="n">
        <x:v>-0.025</x:v>
      </x:c>
      <x:c r="C31" s="47" t="n">
        <x:v>-0.005</x:v>
      </x:c>
      <x:c r="D31" s="47" t="n">
        <x:v>0.01</x:v>
      </x:c>
      <x:c r="E31" s="47" t="n">
        <x:v>0.015</x:v>
      </x:c>
      <x:c r="F31" s="47" t="n">
        <x:v>0.02</x:v>
      </x:c>
      <x:c r="G31" s="39"/>
      <x:c r="H31" s="39"/>
    </x:row>
    <x:row r="32">
      <x:c r="A32" s="39" t="str">
        <x:v>  Contribution profit</x:v>
      </x:c>
      <x:c r="B32" s="106" t="n">
        <x:f>B30*B31</x:f>
        <x:v>-18.773519999999998</x:v>
      </x:c>
      <x:c r="C32" s="106" t="n">
        <x:f>C30*C31</x:f>
        <x:v>-3.077427599999999</x:v>
      </x:c>
      <x:c r="D32" s="106" t="n">
        <x:f>D30*D31</x:f>
        <x:v>5.14702188</x:v>
      </x:c>
      <x:c r="E32" s="106" t="n">
        <x:f>E30*E31</x:f>
        <x:v>6.7199006159999985</x:v>
      </x:c>
      <x:c r="F32" s="106" t="n">
        <x:f>F30*F31</x:f>
        <x:v>8.135065223999998</x:v>
      </x:c>
      <x:c r="G32" s="39"/>
      <x:c r="H32" s="39"/>
    </x:row>
    <x:row r="33">
      <x:c r="A33" s="39" t="str">
        <x:v>  Closure cost</x:v>
      </x:c>
      <x:c r="B33" s="106" t="n">
        <x:f>B23*0.25</x:f>
        <x:v>35</x:v>
      </x:c>
      <x:c r="C33" s="106" t="n">
        <x:f>C23*0.25</x:f>
        <x:v>30</x:v>
      </x:c>
      <x:c r="D33" s="106" t="n">
        <x:f>D23*0.25</x:f>
        <x:v>22.5</x:v>
      </x:c>
      <x:c r="E33" s="106" t="n">
        <x:f>E23*0.25</x:f>
        <x:v>13.75</x:v>
      </x:c>
      <x:c r="F33" s="106" t="n">
        <x:f>F23*0.25</x:f>
        <x:v>8.75</x:v>
      </x:c>
      <x:c r="G33" s="39"/>
      <x:c r="H33" s="39"/>
    </x:row>
    <x:row r="34">
      <x:c r="A34" s="39" t="str">
        <x:v>  Cash flow after closure cost</x:v>
      </x:c>
      <x:c r="B34" s="106" t="n">
        <x:f>B32-B33</x:f>
        <x:v>-53.77352</x:v>
      </x:c>
      <x:c r="C34" s="106" t="n">
        <x:f>C32-C33</x:f>
        <x:v>-33.0774276</x:v>
      </x:c>
      <x:c r="D34" s="106" t="n">
        <x:f>D32-D33</x:f>
        <x:v>-17.35297812</x:v>
      </x:c>
      <x:c r="E34" s="106" t="n">
        <x:f>E32-E33</x:f>
        <x:v>-7.0300993840000015</x:v>
      </x:c>
      <x:c r="F34" s="106" t="n">
        <x:f>F32-F33</x:f>
        <x:v>-0.6149347760000019</x:v>
      </x:c>
      <x:c r="G34" s="39"/>
      <x:c r="H34" s="39"/>
    </x:row>
    <x:row r="35">
      <x:c r="A35" s="39"/>
      <x:c r="B35" s="106"/>
      <x:c r="C35" s="106"/>
      <x:c r="D35" s="106"/>
      <x:c r="E35" s="106"/>
      <x:c r="F35" s="106"/>
      <x:c r="G35" s="39"/>
      <x:c r="H35" s="39"/>
    </x:row>
    <x:row r="36">
      <x:c r="A36" s="80" t="str">
        <x:v>Repositioned concepts</x:v>
      </x:c>
      <x:c r="B36" s="115"/>
      <x:c r="C36" s="115"/>
      <x:c r="D36" s="115"/>
      <x:c r="E36" s="115"/>
      <x:c r="F36" s="116"/>
      <x:c r="G36" s="39"/>
      <x:c r="H36" s="39"/>
    </x:row>
    <x:row r="37">
      <x:c r="A37" s="39" t="str">
        <x:v>  Beginning stores</x:v>
      </x:c>
      <x:c r="B37" s="106" t="n">
        <x:f>350</x:f>
        <x:v>350</x:v>
      </x:c>
      <x:c r="C37" s="106" t="n">
        <x:f>B39</x:f>
        <x:v>330</x:v>
      </x:c>
      <x:c r="D37" s="106" t="n">
        <x:f>C39</x:f>
        <x:v>310</x:v>
      </x:c>
      <x:c r="E37" s="106" t="n">
        <x:f>D39</x:f>
        <x:v>295</x:v>
      </x:c>
      <x:c r="F37" s="106" t="n">
        <x:f>E39</x:f>
        <x:v>280</x:v>
      </x:c>
      <x:c r="G37" s="39"/>
      <x:c r="H37" s="39"/>
    </x:row>
    <x:row r="38">
      <x:c r="A38" s="39" t="str">
        <x:v>  Closures</x:v>
      </x:c>
      <x:c r="B38" s="85" t="n">
        <x:v>20</x:v>
      </x:c>
      <x:c r="C38" s="85" t="n">
        <x:v>20</x:v>
      </x:c>
      <x:c r="D38" s="85" t="n">
        <x:v>15</x:v>
      </x:c>
      <x:c r="E38" s="85" t="n">
        <x:v>15</x:v>
      </x:c>
      <x:c r="F38" s="85" t="n">
        <x:v>15</x:v>
      </x:c>
      <x:c r="G38" s="39"/>
      <x:c r="H38" s="39"/>
    </x:row>
    <x:row r="39">
      <x:c r="A39" s="39" t="str">
        <x:v>  Ending stores</x:v>
      </x:c>
      <x:c r="B39" s="106" t="n">
        <x:f>B37-B38</x:f>
        <x:v>330</x:v>
      </x:c>
      <x:c r="C39" s="106" t="n">
        <x:f>C37-C38</x:f>
        <x:v>310</x:v>
      </x:c>
      <x:c r="D39" s="106" t="n">
        <x:f>D37-D38</x:f>
        <x:v>295</x:v>
      </x:c>
      <x:c r="E39" s="106" t="n">
        <x:f>E37-E38</x:f>
        <x:v>280</x:v>
      </x:c>
      <x:c r="F39" s="106" t="n">
        <x:f>F37-F38</x:f>
        <x:v>265</x:v>
      </x:c>
      <x:c r="G39" s="39"/>
      <x:c r="H39" s="39"/>
    </x:row>
    <x:row r="40">
      <x:c r="A40" s="39" t="str">
        <x:v>  Comparable sales growth</x:v>
      </x:c>
      <x:c r="B40" s="47" t="n">
        <x:v>0.025</x:v>
      </x:c>
      <x:c r="C40" s="47" t="n">
        <x:v>0.035</x:v>
      </x:c>
      <x:c r="D40" s="47" t="n">
        <x:v>0.04</x:v>
      </x:c>
      <x:c r="E40" s="47" t="n">
        <x:v>0.035</x:v>
      </x:c>
      <x:c r="F40" s="47" t="n">
        <x:v>0.03</x:v>
      </x:c>
      <x:c r="G40" s="39"/>
      <x:c r="H40" s="39"/>
    </x:row>
    <x:row r="41">
      <x:c r="A41" s="39" t="str">
        <x:v>  Sales per store</x:v>
      </x:c>
      <x:c r="B41" s="106" t="n">
        <x:f>2.35*(1+B40)</x:f>
        <x:v>2.40875</x:v>
      </x:c>
      <x:c r="C41" s="106" t="n">
        <x:f>B41*(1+C40)</x:f>
        <x:v>2.49305625</x:v>
      </x:c>
      <x:c r="D41" s="106" t="n">
        <x:f>C41*(1+D40)</x:f>
        <x:v>2.5927785</x:v>
      </x:c>
      <x:c r="E41" s="106" t="n">
        <x:f>D41*(1+E40)</x:f>
        <x:v>2.6835257475</x:v>
      </x:c>
      <x:c r="F41" s="106" t="n">
        <x:f>E41*(1+F40)</x:f>
        <x:v>2.764031519925</x:v>
      </x:c>
      <x:c r="G41" s="39"/>
      <x:c r="H41" s="39"/>
    </x:row>
    <x:row r="42">
      <x:c r="A42" s="39" t="str">
        <x:v>  Lost sales</x:v>
      </x:c>
      <x:c r="B42" s="106" t="n">
        <x:f>B38*B41</x:f>
        <x:v>48.175</x:v>
      </x:c>
      <x:c r="C42" s="106" t="n">
        <x:f>C38*C41</x:f>
        <x:v>49.861125</x:v>
      </x:c>
      <x:c r="D42" s="106" t="n">
        <x:f>D38*D41</x:f>
        <x:v>38.8916775</x:v>
      </x:c>
      <x:c r="E42" s="106" t="n">
        <x:f>E38*E41</x:f>
        <x:v>40.2528862125</x:v>
      </x:c>
      <x:c r="F42" s="106" t="n">
        <x:f>F38*F41</x:f>
        <x:v>41.460472798875</x:v>
      </x:c>
      <x:c r="G42" s="39"/>
      <x:c r="H42" s="39"/>
    </x:row>
    <x:row r="43">
      <x:c r="A43" s="39" t="str">
        <x:v>  Retained sales</x:v>
      </x:c>
      <x:c r="B43" s="106" t="n">
        <x:f>B42*0.3</x:f>
        <x:v>14.452499999999999</x:v>
      </x:c>
      <x:c r="C43" s="106" t="n">
        <x:f>C42*0.3</x:f>
        <x:v>14.958337499999999</x:v>
      </x:c>
      <x:c r="D43" s="106" t="n">
        <x:f>D42*0.3</x:f>
        <x:v>11.66750325</x:v>
      </x:c>
      <x:c r="E43" s="106" t="n">
        <x:f>E42*0.3</x:f>
        <x:v>12.07586586375</x:v>
      </x:c>
      <x:c r="F43" s="106" t="n">
        <x:f>F42*0.3</x:f>
        <x:v>12.438141839662501</x:v>
      </x:c>
      <x:c r="G43" s="39"/>
      <x:c r="H43" s="39"/>
    </x:row>
    <x:row r="44">
      <x:c r="A44" s="39" t="str">
        <x:v>  Transferred sales balance</x:v>
      </x:c>
      <x:c r="B44" s="106" t="n">
        <x:f>B43</x:f>
        <x:v>14.452499999999999</x:v>
      </x:c>
      <x:c r="C44" s="106" t="n">
        <x:f>B44*(1+C40)+C43</x:f>
        <x:v>29.916674999999998</x:v>
      </x:c>
      <x:c r="D44" s="106" t="n">
        <x:f>C44*(1+D40)+D43</x:f>
        <x:v>42.78084525</x:v>
      </x:c>
      <x:c r="E44" s="106" t="n">
        <x:f>D44*(1+E40)+E43</x:f>
        <x:v>56.3540406975</x:v>
      </x:c>
      <x:c r="F44" s="106" t="n">
        <x:f>E44*(1+F40)+F43</x:f>
        <x:v>70.4828037580875</x:v>
      </x:c>
      <x:c r="G44" s="39"/>
      <x:c r="H44" s="39"/>
    </x:row>
    <x:row r="45">
      <x:c r="A45" s="39" t="str">
        <x:v>  Revenue</x:v>
      </x:c>
      <x:c r="B45" s="106" t="n">
        <x:f>((B37+B39)/2)*B41+B44</x:f>
        <x:v>833.4275</x:v>
      </x:c>
      <x:c r="C45" s="106" t="n">
        <x:f>((C37+C39)/2)*C41+C44</x:f>
        <x:v>827.694675</x:v>
      </x:c>
      <x:c r="D45" s="106" t="n">
        <x:f>((D37+D39)/2)*D41+D44</x:f>
        <x:v>827.0963415</x:v>
      </x:c>
      <x:c r="E45" s="106" t="n">
        <x:f>((E37+E39)/2)*E41+E44</x:f>
        <x:v>827.86769310375</x:v>
      </x:c>
      <x:c r="F45" s="106" t="n">
        <x:f>((F37+F39)/2)*F41+F44</x:f>
        <x:v>823.68139293765</x:v>
      </x:c>
      <x:c r="G45" s="39"/>
      <x:c r="H45" s="39"/>
    </x:row>
    <x:row r="46">
      <x:c r="A46" s="39" t="str">
        <x:v>  Contribution margin</x:v>
      </x:c>
      <x:c r="B46" s="47" t="n">
        <x:v>0.085</x:v>
      </x:c>
      <x:c r="C46" s="47" t="n">
        <x:v>0.095</x:v>
      </x:c>
      <x:c r="D46" s="47" t="n">
        <x:v>0.105</x:v>
      </x:c>
      <x:c r="E46" s="47" t="n">
        <x:v>0.11</x:v>
      </x:c>
      <x:c r="F46" s="47" t="n">
        <x:v>0.112</x:v>
      </x:c>
      <x:c r="G46" s="39"/>
      <x:c r="H46" s="39"/>
    </x:row>
    <x:row r="47">
      <x:c r="A47" s="39" t="str">
        <x:v>  Contribution profit</x:v>
      </x:c>
      <x:c r="B47" s="106" t="n">
        <x:f>B45*B46</x:f>
        <x:v>70.84133750000001</x:v>
      </x:c>
      <x:c r="C47" s="106" t="n">
        <x:f>C45*C46</x:f>
        <x:v>78.630994125</x:v>
      </x:c>
      <x:c r="D47" s="106" t="n">
        <x:f>D45*D46</x:f>
        <x:v>86.84511585749999</x:v>
      </x:c>
      <x:c r="E47" s="106" t="n">
        <x:f>E45*E46</x:f>
        <x:v>91.0654462414125</x:v>
      </x:c>
      <x:c r="F47" s="106" t="n">
        <x:f>F45*F46</x:f>
        <x:v>92.25231600901681</x:v>
      </x:c>
      <x:c r="G47" s="39"/>
      <x:c r="H47" s="39"/>
    </x:row>
    <x:row r="48">
      <x:c r="A48" s="39" t="str">
        <x:v>  Closure cost</x:v>
      </x:c>
      <x:c r="B48" s="106" t="n">
        <x:f>B38*0.2</x:f>
        <x:v>4</x:v>
      </x:c>
      <x:c r="C48" s="106" t="n">
        <x:f>C38*0.2</x:f>
        <x:v>4</x:v>
      </x:c>
      <x:c r="D48" s="106" t="n">
        <x:f>D38*0.2</x:f>
        <x:v>3</x:v>
      </x:c>
      <x:c r="E48" s="106" t="n">
        <x:f>E38*0.2</x:f>
        <x:v>3</x:v>
      </x:c>
      <x:c r="F48" s="106" t="n">
        <x:f>F38*0.2</x:f>
        <x:v>3</x:v>
      </x:c>
      <x:c r="G48" s="39"/>
      <x:c r="H48" s="39"/>
    </x:row>
    <x:row r="49">
      <x:c r="A49" s="39" t="str">
        <x:v>  Cash flow after closure cost</x:v>
      </x:c>
      <x:c r="B49" s="106" t="n">
        <x:f>B47-B48</x:f>
        <x:v>66.84133750000001</x:v>
      </x:c>
      <x:c r="C49" s="106" t="n">
        <x:f>C47-C48</x:f>
        <x:v>74.630994125</x:v>
      </x:c>
      <x:c r="D49" s="106" t="n">
        <x:f>D47-D48</x:f>
        <x:v>83.84511585749999</x:v>
      </x:c>
      <x:c r="E49" s="106" t="n">
        <x:f>E47-E48</x:f>
        <x:v>88.0654462414125</x:v>
      </x:c>
      <x:c r="F49" s="106" t="n">
        <x:f>F47-F48</x:f>
        <x:v>89.25231600901681</x:v>
      </x:c>
      <x:c r="G49" s="39"/>
      <x:c r="H49" s="39"/>
    </x:row>
    <x:row r="50">
      <x:c r="A50" s="39"/>
      <x:c r="B50" s="106"/>
      <x:c r="C50" s="106"/>
      <x:c r="D50" s="106"/>
      <x:c r="E50" s="106"/>
      <x:c r="F50" s="106"/>
      <x:c r="G50" s="39"/>
      <x:c r="H50" s="39"/>
    </x:row>
    <x:row r="51">
      <x:c r="A51" s="80" t="str">
        <x:v>Cohort reconciliation</x:v>
      </x:c>
      <x:c r="B51" s="115"/>
      <x:c r="C51" s="115"/>
      <x:c r="D51" s="115"/>
      <x:c r="E51" s="115"/>
      <x:c r="F51" s="116"/>
      <x:c r="G51" s="39"/>
      <x:c r="H51" s="39"/>
    </x:row>
    <x:row r="52">
      <x:c r="A52" s="39" t="str">
        <x:v>Total beginning stores</x:v>
      </x:c>
      <x:c r="B52" s="106" t="n">
        <x:f>SUM(B7,B22,B37)</x:f>
        <x:v>3175</x:v>
      </x:c>
      <x:c r="C52" s="106" t="n">
        <x:f>SUM(C7,C22,C37)</x:f>
        <x:v>2995</x:v>
      </x:c>
      <x:c r="D52" s="106" t="n">
        <x:f>SUM(D7,D22,D37)</x:f>
        <x:v>2835</x:v>
      </x:c>
      <x:c r="E52" s="106" t="n">
        <x:f>SUM(E7,E22,E37)</x:f>
        <x:v>2715</x:v>
      </x:c>
      <x:c r="F52" s="106" t="n">
        <x:f>SUM(F7,F22,F37)</x:f>
        <x:v>2635</x:v>
      </x:c>
      <x:c r="G52" s="39"/>
      <x:c r="H52" s="39"/>
    </x:row>
    <x:row r="53">
      <x:c r="A53" s="39" t="str">
        <x:v>Total closures</x:v>
      </x:c>
      <x:c r="B53" s="106" t="n">
        <x:f>SUM(B8,B23,B38)</x:f>
        <x:v>180</x:v>
      </x:c>
      <x:c r="C53" s="106" t="n">
        <x:f>SUM(C8,C23,C38)</x:f>
        <x:v>160</x:v>
      </x:c>
      <x:c r="D53" s="106" t="n">
        <x:f>SUM(D8,D23,D38)</x:f>
        <x:v>120</x:v>
      </x:c>
      <x:c r="E53" s="106" t="n">
        <x:f>SUM(E8,E23,E38)</x:f>
        <x:v>80</x:v>
      </x:c>
      <x:c r="F53" s="106" t="n">
        <x:f>SUM(F8,F23,F38)</x:f>
        <x:v>60</x:v>
      </x:c>
      <x:c r="G53" s="39"/>
      <x:c r="H53" s="39"/>
    </x:row>
    <x:row r="54">
      <x:c r="A54" s="39" t="str">
        <x:v>Total ending stores</x:v>
      </x:c>
      <x:c r="B54" s="106" t="n">
        <x:f>SUM(B9,B24,B39)</x:f>
        <x:v>2995</x:v>
      </x:c>
      <x:c r="C54" s="106" t="n">
        <x:f>SUM(C9,C24,C39)</x:f>
        <x:v>2835</x:v>
      </x:c>
      <x:c r="D54" s="106" t="n">
        <x:f>SUM(D9,D24,D39)</x:f>
        <x:v>2715</x:v>
      </x:c>
      <x:c r="E54" s="106" t="n">
        <x:f>SUM(E9,E24,E39)</x:f>
        <x:v>2635</x:v>
      </x:c>
      <x:c r="F54" s="106" t="n">
        <x:f>SUM(F9,F24,F39)</x:f>
        <x:v>2575</x:v>
      </x:c>
      <x:c r="G54" s="39"/>
      <x:c r="H54" s="39"/>
    </x:row>
    <x:row r="55">
      <x:c r="A55" s="39" t="str">
        <x:v>Total cohort revenue</x:v>
      </x:c>
      <x:c r="B55" s="106" t="n">
        <x:f>SUM(B15,B30,B45)</x:f>
        <x:v>5900.592049999999</x:v>
      </x:c>
      <x:c r="C55" s="106" t="n">
        <x:f>SUM(C15,C30,C45)</x:f>
        <x:v>5792.779994999998</x:v>
      </x:c>
      <x:c r="D55" s="106" t="n">
        <x:f>SUM(D15,D30,D45)</x:f>
        <x:v>5749.061894156248</x:v>
      </x:c>
      <x:c r="E55" s="106" t="n">
        <x:f>SUM(E15,E30,E45)</x:f>
        <x:v>5749.513335838124</x:v>
      </x:c>
      <x:c r="F55" s="106" t="n">
        <x:f>SUM(F15,F30,F45)</x:f>
        <x:v>5776.916349673235</x:v>
      </x:c>
      <x:c r="G55" s="39"/>
      <x:c r="H55" s="39"/>
    </x:row>
    <x:row r="56">
      <x:c r="A56" s="39" t="str">
        <x:v>Total contribution profit</x:v>
      </x:c>
      <x:c r="B56" s="106" t="n">
        <x:f>SUM(B17,B32,B47)</x:f>
        <x:v>375.78459874999993</x:v>
      </x:c>
      <x:c r="C56" s="106" t="n">
        <x:f>SUM(C17,C32,C47)</x:f>
        <x:v>432.2207501249999</x:v>
      </x:c>
      <x:c r="D56" s="106" t="n">
        <x:f>SUM(D17,D32,D47)</x:f>
        <x:v>488.6458405565623</x:v>
      </x:c>
      <x:c r="E56" s="106" t="n">
        <x:f>SUM(E17,E32,E47)</x:f>
        <x:v>522.782312349178</x:v>
      </x:c>
      <x:c r="F56" s="106" t="n">
        <x:f>SUM(F17,F32,F47)</x:f>
        <x:v>545.9425873955042</x:v>
      </x:c>
      <x:c r="G56" s="39"/>
      <x:c r="H56" s="39"/>
    </x:row>
    <x:row r="57">
      <x:c r="A57" s="39" t="str">
        <x:v>Total closure cost</x:v>
      </x:c>
      <x:c r="B57" s="106" t="n">
        <x:f>SUM(B18,B33,B48)</x:f>
        <x:v>42</x:v>
      </x:c>
      <x:c r="C57" s="106" t="n">
        <x:f>SUM(C18,C33,C48)</x:f>
        <x:v>37</x:v>
      </x:c>
      <x:c r="D57" s="106" t="n">
        <x:f>SUM(D18,D33,D48)</x:f>
        <x:v>27.75</x:v>
      </x:c>
      <x:c r="E57" s="106" t="n">
        <x:f>SUM(E18,E33,E48)</x:f>
        <x:v>18.25</x:v>
      </x:c>
      <x:c r="F57" s="106" t="n">
        <x:f>SUM(F18,F33,F48)</x:f>
        <x:v>13.25</x:v>
      </x:c>
      <x:c r="G57" s="39"/>
      <x:c r="H57" s="39"/>
    </x:row>
    <x:row r="58">
      <x:c r="A58" s="39" t="str">
        <x:v>Total transferred sales</x:v>
      </x:c>
      <x:c r="B58" s="106" t="n">
        <x:f>SUM(B14,B29,B44)</x:f>
        <x:v>52.574549999999995</x:v>
      </x:c>
      <x:c r="C58" s="106" t="n">
        <x:f>SUM(C14,C29,C44)</x:f>
        <x:v>101.20373249999997</x:v>
      </x:c>
      <x:c r="D58" s="106" t="n">
        <x:f>SUM(D14,D29,D44)</x:f>
        <x:v>139.24434459375</x:v>
      </x:c>
      <x:c r="E58" s="106" t="n">
        <x:f>SUM(E14,E29,E44)</x:f>
        <x:v>169.39299597187497</x:v>
      </x:c>
      <x:c r="F58" s="106" t="n">
        <x:f>SUM(F14,F29,F44)</x:f>
        <x:v>196.49022037177497</x:v>
      </x:c>
      <x:c r="G58" s="39"/>
      <x:c r="H58" s="39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Acquisition and synergy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Preliminary purchase accounting and risk-adjusted synergy cash effects.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line_item</x:v>
      </x:c>
      <x:c r="B5" s="61" t="str">
        <x:v>amount</x:v>
      </x:c>
      <x:c r="C5" s="61" t="str">
        <x:v>transaction_date</x:v>
      </x:c>
      <x:c r="D5" s="62" t="str">
        <x:v>preliminary</x:v>
      </x:c>
      <x:c r="E5" s="39"/>
      <x:c r="F5" s="39"/>
      <x:c r="G5" s="39"/>
      <x:c r="H5" s="39"/>
    </x:row>
    <x:row r="6">
      <x:c r="A6" s="39" t="str">
        <x:v>Purchase price</x:v>
      </x:c>
      <x:c r="B6" s="123" t="n">
        <x:v>0</x:v>
      </x:c>
      <x:c r="C6" s="39"/>
      <x:c r="D6" s="124" t="b">
        <x:v>1</x:v>
      </x:c>
      <x:c r="E6" s="39"/>
      <x:c r="F6" s="39"/>
      <x:c r="G6" s="39"/>
      <x:c r="H6" s="39"/>
    </x:row>
    <x:row r="7">
      <x:c r="A7" s="39" t="str">
        <x:v>Acquired cash</x:v>
      </x:c>
      <x:c r="B7" s="123" t="n">
        <x:v>0</x:v>
      </x:c>
      <x:c r="C7" s="39"/>
      <x:c r="D7" s="124" t="b">
        <x:v>1</x:v>
      </x:c>
      <x:c r="E7" s="39"/>
      <x:c r="F7" s="39"/>
      <x:c r="G7" s="39"/>
      <x:c r="H7" s="39"/>
    </x:row>
    <x:row r="8">
      <x:c r="A8" s="39" t="str">
        <x:v>Acquired working capital</x:v>
      </x:c>
      <x:c r="B8" s="123" t="n">
        <x:v>0</x:v>
      </x:c>
      <x:c r="C8" s="39"/>
      <x:c r="D8" s="124" t="b">
        <x:v>1</x:v>
      </x:c>
      <x:c r="E8" s="39"/>
      <x:c r="F8" s="39"/>
      <x:c r="G8" s="39"/>
      <x:c r="H8" s="39"/>
    </x:row>
    <x:row r="9">
      <x:c r="A9" s="39" t="str">
        <x:v>Acquired PP&amp;E</x:v>
      </x:c>
      <x:c r="B9" s="123" t="n">
        <x:v>0</x:v>
      </x:c>
      <x:c r="C9" s="39"/>
      <x:c r="D9" s="124" t="b">
        <x:v>1</x:v>
      </x:c>
      <x:c r="E9" s="39"/>
      <x:c r="F9" s="39"/>
      <x:c r="G9" s="39"/>
      <x:c r="H9" s="39"/>
    </x:row>
    <x:row r="10">
      <x:c r="A10" s="39" t="str">
        <x:v>Acquired ROU assets</x:v>
      </x:c>
      <x:c r="B10" s="123" t="n">
        <x:v>0</x:v>
      </x:c>
      <x:c r="C10" s="39"/>
      <x:c r="D10" s="124" t="b">
        <x:v>1</x:v>
      </x:c>
      <x:c r="E10" s="39"/>
      <x:c r="F10" s="39"/>
      <x:c r="G10" s="39"/>
      <x:c r="H10" s="39"/>
    </x:row>
    <x:row r="11">
      <x:c r="A11" s="39" t="str">
        <x:v>Acquired intangibles</x:v>
      </x:c>
      <x:c r="B11" s="123" t="n">
        <x:v>0</x:v>
      </x:c>
      <x:c r="C11" s="39"/>
      <x:c r="D11" s="124" t="b">
        <x:v>1</x:v>
      </x:c>
      <x:c r="E11" s="39"/>
      <x:c r="F11" s="39"/>
      <x:c r="G11" s="39"/>
      <x:c r="H11" s="39"/>
    </x:row>
    <x:row r="12">
      <x:c r="A12" s="39" t="str">
        <x:v>Goodwill</x:v>
      </x:c>
      <x:c r="B12" s="123" t="n">
        <x:v>0</x:v>
      </x:c>
      <x:c r="C12" s="39"/>
      <x:c r="D12" s="124" t="b">
        <x:v>1</x:v>
      </x:c>
      <x:c r="E12" s="39"/>
      <x:c r="F12" s="39"/>
      <x:c r="G12" s="39"/>
      <x:c r="H12" s="39"/>
    </x:row>
    <x:row r="13">
      <x:c r="A13" s="39" t="str">
        <x:v>Assumed debt</x:v>
      </x:c>
      <x:c r="B13" s="123" t="n">
        <x:v>0</x:v>
      </x:c>
      <x:c r="C13" s="39"/>
      <x:c r="D13" s="124" t="b">
        <x:v>1</x:v>
      </x:c>
      <x:c r="E13" s="39"/>
      <x:c r="F13" s="39"/>
      <x:c r="G13" s="39"/>
      <x:c r="H13" s="39"/>
    </x:row>
    <x:row r="14">
      <x:c r="A14" s="39" t="str">
        <x:v>Assumed operating leases</x:v>
      </x:c>
      <x:c r="B14" s="123" t="n">
        <x:v>0</x:v>
      </x:c>
      <x:c r="C14" s="39"/>
      <x:c r="D14" s="124" t="b">
        <x:v>1</x:v>
      </x:c>
      <x:c r="E14" s="39"/>
      <x:c r="F14" s="39"/>
      <x:c r="G14" s="39"/>
      <x:c r="H14" s="39"/>
    </x:row>
    <x:row r="15">
      <x:c r="A15" s="39" t="str">
        <x:v>Other net liabilities</x:v>
      </x:c>
      <x:c r="B15" s="123" t="n">
        <x:v>0</x:v>
      </x:c>
      <x:c r="C15" s="39"/>
      <x:c r="D15" s="124" t="b">
        <x:v>1</x:v>
      </x:c>
      <x:c r="E15" s="39"/>
      <x:c r="F15" s="39"/>
      <x:c r="G15" s="39"/>
      <x:c r="H15" s="39"/>
    </x:row>
    <x:row r="16">
      <x:c r="A16" s="39"/>
      <x:c r="B16" s="39"/>
      <x:c r="C16" s="39"/>
      <x:c r="D16" s="39"/>
      <x:c r="E16" s="39"/>
      <x:c r="F16" s="39"/>
      <x:c r="G16" s="39"/>
      <x:c r="H16" s="39"/>
    </x:row>
    <x:row r="17">
      <x:c r="A17" s="80" t="str">
        <x:v>Synergy summary</x:v>
      </x:c>
      <x:c r="B17" s="92" t="str">
        <x:v>FY2026</x:v>
      </x:c>
      <x:c r="C17" s="92" t="str">
        <x:v>FY2027</x:v>
      </x:c>
      <x:c r="D17" s="92" t="str">
        <x:v>FY2028</x:v>
      </x:c>
      <x:c r="E17" s="92" t="str">
        <x:v>FY2029</x:v>
      </x:c>
      <x:c r="F17" s="93" t="str">
        <x:v>FY2030</x:v>
      </x:c>
      <x:c r="G17" s="39"/>
      <x:c r="H17" s="39"/>
    </x:row>
    <x:row r="18">
      <x:c r="A18" s="39" t="str">
        <x:v>Gross savings</x:v>
      </x:c>
      <x:c r="B18" s="123" t="n">
        <x:v>61</x:v>
      </x:c>
      <x:c r="C18" s="123" t="n">
        <x:v>134.75</x:v>
      </x:c>
      <x:c r="D18" s="123" t="n">
        <x:v>208.5</x:v>
      </x:c>
      <x:c r="E18" s="123" t="n">
        <x:v>261.5</x:v>
      </x:c>
      <x:c r="F18" s="123" t="n">
        <x:v>295</x:v>
      </x:c>
      <x:c r="G18" s="39"/>
      <x:c r="H18" s="39"/>
    </x:row>
    <x:row r="19">
      <x:c r="A19" s="39" t="str">
        <x:v>Risk-adjusted recurring benefit</x:v>
      </x:c>
      <x:c r="B19" s="123" t="n">
        <x:v>29.25</x:v>
      </x:c>
      <x:c r="C19" s="123" t="n">
        <x:v>81.9375</x:v>
      </x:c>
      <x:c r="D19" s="123" t="n">
        <x:v>136.625</x:v>
      </x:c>
      <x:c r="E19" s="123" t="n">
        <x:v>178.075</x:v>
      </x:c>
      <x:c r="F19" s="123" t="n">
        <x:v>204.75</x:v>
      </x:c>
      <x:c r="G19" s="39"/>
      <x:c r="H19" s="39"/>
    </x:row>
    <x:row r="20">
      <x:c r="A20" s="39" t="str">
        <x:v>Implementation cost</x:v>
      </x:c>
      <x:c r="B20" s="123" t="n">
        <x:v>195</x:v>
      </x:c>
      <x:c r="C20" s="123" t="n">
        <x:v>150</x:v>
      </x:c>
      <x:c r="D20" s="123" t="n">
        <x:v>85</x:v>
      </x:c>
      <x:c r="E20" s="123" t="n">
        <x:v>40</x:v>
      </x:c>
      <x:c r="F20" s="123" t="n">
        <x:v>15</x:v>
      </x:c>
      <x:c r="G20" s="39"/>
      <x:c r="H20" s="39"/>
    </x:row>
    <x:row r="21">
      <x:c r="A21" s="39" t="str">
        <x:v>Net cash benefit</x:v>
      </x:c>
      <x:c r="B21" s="123" t="n">
        <x:v>-165.75</x:v>
      </x:c>
      <x:c r="C21" s="123" t="n">
        <x:v>-68.0625</x:v>
      </x:c>
      <x:c r="D21" s="123" t="n">
        <x:v>51.625</x:v>
      </x:c>
      <x:c r="E21" s="123" t="n">
        <x:v>138.075</x:v>
      </x:c>
      <x:c r="F21" s="123" t="n">
        <x:v>189.75</x:v>
      </x:c>
      <x:c r="G21" s="39"/>
      <x:c r="H21" s="39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Consolidated income statement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USD millions except per-share data.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Legacy revenue</x:v>
      </x:c>
      <x:c r="B6" s="137" t="n">
        <x:f>'Legacy DICK''S Operating Model'!B16</x:f>
        <x:v>15742.002</x:v>
      </x:c>
      <x:c r="C6" s="137" t="n">
        <x:f>'Legacy DICK''S Operating Model'!C16</x:f>
        <x:v>16487.015976</x:v>
      </x:c>
      <x:c r="D6" s="137" t="n">
        <x:f>'Legacy DICK''S Operating Model'!D16</x:f>
        <x:v>17245.7742839</x:v>
      </x:c>
      <x:c r="E6" s="137" t="n">
        <x:f>'Legacy DICK''S Operating Model'!E16</x:f>
        <x:v>17997.252917836497</x:v>
      </x:c>
      <x:c r="F6" s="137" t="n">
        <x:f>'Legacy DICK''S Operating Model'!F16</x:f>
        <x:v>18711.735338130955</x:v>
      </x:c>
      <x:c r="G6" s="39"/>
      <x:c r="H6" s="39"/>
    </x:row>
    <x:row r="7">
      <x:c r="A7" s="39" t="str">
        <x:v>Foot Locker revenue</x:v>
      </x:c>
      <x:c r="B7" s="137" t="n">
        <x:f>'Foot Locker Operating Model'!B15</x:f>
        <x:v>7571.967049999999</x:v>
      </x:c>
      <x:c r="C7" s="137" t="n">
        <x:f>'Foot Locker Operating Model'!C15</x:f>
        <x:v>7526.792494999998</x:v>
      </x:c>
      <x:c r="D7" s="137" t="n">
        <x:f>'Foot Locker Operating Model'!D15</x:f>
        <x:v>7564.897456656247</x:v>
      </x:c>
      <x:c r="E7" s="137" t="n">
        <x:f>'Foot Locker Operating Model'!E15</x:f>
        <x:v>7654.984426463123</x:v>
      </x:c>
      <x:c r="F7" s="137" t="n">
        <x:f>'Foot Locker Operating Model'!F15</x:f>
        <x:v>7776.504744829485</x:v>
      </x:c>
      <x:c r="G7" s="39"/>
      <x:c r="H7" s="39"/>
    </x:row>
    <x:row r="8">
      <x:c r="A8" s="80" t="str">
        <x:v>Revenue</x:v>
      </x:c>
      <x:c r="B8" s="138" t="n">
        <x:f>B6+B7</x:f>
        <x:v>23313.96905</x:v>
      </x:c>
      <x:c r="C8" s="138" t="n">
        <x:f>C6+C7</x:f>
        <x:v>24013.808470999997</x:v>
      </x:c>
      <x:c r="D8" s="138" t="n">
        <x:f>D6+D7</x:f>
        <x:v>24810.671740556245</x:v>
      </x:c>
      <x:c r="E8" s="138" t="n">
        <x:f>E6+E7</x:f>
        <x:v>25652.237344299618</x:v>
      </x:c>
      <x:c r="F8" s="139" t="n">
        <x:f>F6+F7</x:f>
        <x:v>26488.24008296044</x:v>
      </x:c>
      <x:c r="G8" s="39"/>
      <x:c r="H8" s="39"/>
    </x:row>
    <x:row r="9">
      <x:c r="A9" s="39" t="str">
        <x:v>Gross profit</x:v>
      </x:c>
      <x:c r="B9" s="137" t="n">
        <x:f>'Legacy DICK''S Operating Model'!B18+'Foot Locker Operating Model'!B17</x:f>
        <x:v>7918.985273349999</x:v>
      </x:c>
      <x:c r="C9" s="137" t="n">
        <x:f>'Legacy DICK''S Operating Model'!C18+'Foot Locker Operating Model'!C17</x:f>
        <x:v>8254.651633241</x:v>
      </x:c>
      <x:c r="D9" s="137" t="n">
        <x:f>'Legacy DICK''S Operating Model'!D18+'Foot Locker Operating Model'!D17</x:f>
        <x:v>8621.363091558142</x:v>
      </x:c>
      <x:c r="E9" s="137" t="n">
        <x:f>'Legacy DICK''S Operating Model'!E18+'Foot Locker Operating Model'!E17</x:f>
        <x:v>8970.382008623099</x:v>
      </x:c>
      <x:c r="F9" s="137" t="n">
        <x:f>'Legacy DICK''S Operating Model'!F18+'Foot Locker Operating Model'!F17</x:f>
        <x:v>9319.96458956382</x:v>
      </x:c>
      <x:c r="G9" s="39"/>
      <x:c r="H9" s="39"/>
    </x:row>
    <x:row r="10">
      <x:c r="A10" s="39" t="str">
        <x:v>Legacy operating income</x:v>
      </x:c>
      <x:c r="B10" s="137" t="n">
        <x:f>'Legacy DICK''S Operating Model'!B21</x:f>
        <x:v>1731.6202199999993</x:v>
      </x:c>
      <x:c r="C10" s="137" t="n">
        <x:f>'Legacy DICK''S Operating Model'!C21</x:f>
        <x:v>1863.0328052879995</x:v>
      </x:c>
      <x:c r="D10" s="137" t="n">
        <x:f>'Legacy DICK''S Operating Model'!D21</x:f>
        <x:v>1983.2640426484995</x:v>
      </x:c>
      <x:c r="E10" s="137" t="n">
        <x:f>'Legacy DICK''S Operating Model'!E21</x:f>
        <x:v>2069.6840855511964</x:v>
      </x:c>
      <x:c r="F10" s="137" t="n">
        <x:f>'Legacy DICK''S Operating Model'!F21</x:f>
        <x:v>2189.2730345613218</x:v>
      </x:c>
      <x:c r="G10" s="39"/>
      <x:c r="H10" s="39"/>
    </x:row>
    <x:row r="11">
      <x:c r="A11" s="39" t="str">
        <x:v>Foot Locker operating income</x:v>
      </x:c>
      <x:c r="B11" s="137" t="n">
        <x:f>'Foot Locker Operating Model'!B21</x:f>
        <x:v>320.4135987499999</x:v>
      </x:c>
      <x:c r="C11" s="137" t="n">
        <x:f>'Foot Locker Operating Model'!C21</x:f>
        <x:v>407.35883762499986</x:v>
      </x:c>
      <x:c r="D11" s="137" t="n">
        <x:f>'Foot Locker Operating Model'!D21</x:f>
        <x:v>500.8442229315622</x:v>
      </x:c>
      <x:c r="E11" s="137" t="n">
        <x:f>'Foot Locker Operating Model'!E21</x:f>
        <x:v>567.4128583398029</x:v>
      </x:c>
      <x:c r="F11" s="137" t="n">
        <x:f>'Foot Locker Operating Model'!F21</x:f>
        <x:v>612.6761232017542</x:v>
      </x:c>
      <x:c r="G11" s="39"/>
      <x:c r="H11" s="39"/>
    </x:row>
    <x:row r="12">
      <x:c r="A12" s="39" t="str">
        <x:v>Synergy benefit</x:v>
      </x:c>
      <x:c r="B12" s="137" t="n">
        <x:f>'Acquisition &amp; Synergy'!B19</x:f>
        <x:v>29.25</x:v>
      </x:c>
      <x:c r="C12" s="137" t="n">
        <x:f>'Acquisition &amp; Synergy'!C19</x:f>
        <x:v>81.9375</x:v>
      </x:c>
      <x:c r="D12" s="137" t="n">
        <x:f>'Acquisition &amp; Synergy'!D19</x:f>
        <x:v>136.625</x:v>
      </x:c>
      <x:c r="E12" s="137" t="n">
        <x:f>'Acquisition &amp; Synergy'!E19</x:f>
        <x:v>178.075</x:v>
      </x:c>
      <x:c r="F12" s="137" t="n">
        <x:f>'Acquisition &amp; Synergy'!F19</x:f>
        <x:v>204.75</x:v>
      </x:c>
      <x:c r="G12" s="39"/>
      <x:c r="H12" s="39"/>
    </x:row>
    <x:row r="13">
      <x:c r="A13" s="39" t="str">
        <x:v>Corporate expense %</x:v>
      </x:c>
      <x:c r="B13" s="140" t="n">
        <x:f>'Assumptions &amp; Sources'!B$36</x:f>
        <x:v>0.012</x:v>
      </x:c>
      <x:c r="C13" s="140" t="n">
        <x:f>'Assumptions &amp; Sources'!C$36</x:f>
        <x:v>0.012</x:v>
      </x:c>
      <x:c r="D13" s="140" t="n">
        <x:f>'Assumptions &amp; Sources'!D$36</x:f>
        <x:v>0.0115</x:v>
      </x:c>
      <x:c r="E13" s="140" t="n">
        <x:f>'Assumptions &amp; Sources'!E$36</x:f>
        <x:v>0.0115</x:v>
      </x:c>
      <x:c r="F13" s="140" t="n">
        <x:f>'Assumptions &amp; Sources'!F$36</x:f>
        <x:v>0.011</x:v>
      </x:c>
      <x:c r="G13" s="39"/>
      <x:c r="H13" s="39"/>
    </x:row>
    <x:row r="14">
      <x:c r="A14" s="39" t="str">
        <x:v>Corporate expense</x:v>
      </x:c>
      <x:c r="B14" s="137" t="n">
        <x:f>B8*B13</x:f>
        <x:v>279.7676286</x:v>
      </x:c>
      <x:c r="C14" s="137" t="n">
        <x:f>C8*C13</x:f>
        <x:v>288.16570165199994</x:v>
      </x:c>
      <x:c r="D14" s="137" t="n">
        <x:f>D8*D13</x:f>
        <x:v>285.3227250163968</x:v>
      </x:c>
      <x:c r="E14" s="137" t="n">
        <x:f>E8*E13</x:f>
        <x:v>295.0007294594456</x:v>
      </x:c>
      <x:c r="F14" s="137" t="n">
        <x:f>F8*F13</x:f>
        <x:v>291.37064091256485</x:v>
      </x:c>
      <x:c r="G14" s="39"/>
      <x:c r="H14" s="39"/>
    </x:row>
    <x:row r="15">
      <x:c r="A15" s="39" t="str">
        <x:v>Integration cost</x:v>
      </x:c>
      <x:c r="B15" s="137" t="n">
        <x:f>'Acquisition &amp; Synergy'!B20</x:f>
        <x:v>195</x:v>
      </x:c>
      <x:c r="C15" s="137" t="n">
        <x:f>'Acquisition &amp; Synergy'!C20</x:f>
        <x:v>150</x:v>
      </x:c>
      <x:c r="D15" s="137" t="n">
        <x:f>'Acquisition &amp; Synergy'!D20</x:f>
        <x:v>85</x:v>
      </x:c>
      <x:c r="E15" s="137" t="n">
        <x:f>'Acquisition &amp; Synergy'!E20</x:f>
        <x:v>40</x:v>
      </x:c>
      <x:c r="F15" s="137" t="n">
        <x:f>'Acquisition &amp; Synergy'!F20</x:f>
        <x:v>15</x:v>
      </x:c>
      <x:c r="G15" s="39"/>
      <x:c r="H15" s="39"/>
    </x:row>
    <x:row r="16">
      <x:c r="A16" s="39" t="str">
        <x:v>Stock compensation</x:v>
      </x:c>
      <x:c r="B16" s="137" t="n">
        <x:f>'Assumptions &amp; Sources'!B$101</x:f>
        <x:v>0</x:v>
      </x:c>
      <x:c r="C16" s="137" t="n">
        <x:f>'Assumptions &amp; Sources'!C$101</x:f>
        <x:v>0</x:v>
      </x:c>
      <x:c r="D16" s="137" t="n">
        <x:f>'Assumptions &amp; Sources'!D$101</x:f>
        <x:v>0</x:v>
      </x:c>
      <x:c r="E16" s="137" t="n">
        <x:f>'Assumptions &amp; Sources'!E$101</x:f>
        <x:v>0</x:v>
      </x:c>
      <x:c r="F16" s="137" t="n">
        <x:f>'Assumptions &amp; Sources'!F$101</x:f>
        <x:v>0</x:v>
      </x:c>
      <x:c r="G16" s="39"/>
      <x:c r="H16" s="39"/>
    </x:row>
    <x:row r="17">
      <x:c r="A17" s="80" t="str">
        <x:v>EBIT</x:v>
      </x:c>
      <x:c r="B17" s="138" t="n">
        <x:f>B10+B11+B12-B14-B15-B16</x:f>
        <x:v>1606.5161901499991</x:v>
      </x:c>
      <x:c r="C17" s="138" t="n">
        <x:f>C10+C11+C12-C14-C15-C16</x:f>
        <x:v>1914.1634412609997</x:v>
      </x:c>
      <x:c r="D17" s="138" t="n">
        <x:f>D10+D11+D12-D14-D15-D16</x:f>
        <x:v>2250.410540563665</x:v>
      </x:c>
      <x:c r="E17" s="138" t="n">
        <x:f>E10+E11+E12-E14-E15-E16</x:f>
        <x:v>2480.1712144315534</x:v>
      </x:c>
      <x:c r="F17" s="139" t="n">
        <x:f>F10+F11+F12-F14-F15-F16</x:f>
        <x:v>2700.3285168505113</x:v>
      </x:c>
      <x:c r="G17" s="39"/>
      <x:c r="H17" s="39"/>
    </x:row>
    <x:row r="18">
      <x:c r="A18" s="39" t="str">
        <x:v>Adjusted EBIT</x:v>
      </x:c>
      <x:c r="B18" s="137" t="n">
        <x:f>B17+B15</x:f>
        <x:v>1801.5161901499991</x:v>
      </x:c>
      <x:c r="C18" s="137" t="n">
        <x:f>C17+C15</x:f>
        <x:v>2064.1634412609997</x:v>
      </x:c>
      <x:c r="D18" s="137" t="n">
        <x:f>D17+D15</x:f>
        <x:v>2335.410540563665</x:v>
      </x:c>
      <x:c r="E18" s="137" t="n">
        <x:f>E17+E15</x:f>
        <x:v>2520.1712144315534</x:v>
      </x:c>
      <x:c r="F18" s="137" t="n">
        <x:f>F17+F15</x:f>
        <x:v>2715.3285168505113</x:v>
      </x:c>
      <x:c r="G18" s="39"/>
      <x:c r="H18" s="39"/>
    </x:row>
    <x:row r="19">
      <x:c r="A19" s="39" t="str">
        <x:v>Depreciation</x:v>
      </x:c>
      <x:c r="B19" s="137" t="n">
        <x:f>'Capex &amp; Depreciation'!B$12</x:f>
        <x:v>955.8727310500001</x:v>
      </x:c>
      <x:c r="C19" s="137" t="n">
        <x:f>'Capex &amp; Depreciation'!C$12</x:f>
        <x:v>960.5523388399998</x:v>
      </x:c>
      <x:c r="D19" s="137" t="n">
        <x:f>'Capex &amp; Depreciation'!D$12</x:f>
        <x:v>967.6161978816936</x:v>
      </x:c>
      <x:c r="E19" s="137" t="n">
        <x:f>'Capex &amp; Depreciation'!E$12</x:f>
        <x:v>974.7850190833855</x:v>
      </x:c>
      <x:c r="F19" s="137" t="n">
        <x:f>'Capex &amp; Depreciation'!F$12</x:f>
        <x:v>1006.5531231524967</x:v>
      </x:c>
      <x:c r="G19" s="39"/>
      <x:c r="H19" s="39"/>
    </x:row>
    <x:row r="20">
      <x:c r="A20" s="39" t="str">
        <x:v>EBITDA</x:v>
      </x:c>
      <x:c r="B20" s="137" t="n">
        <x:f>B17+B19</x:f>
        <x:v>2562.3889211999995</x:v>
      </x:c>
      <x:c r="C20" s="137" t="n">
        <x:f>C17+C19</x:f>
        <x:v>2874.7157801009994</x:v>
      </x:c>
      <x:c r="D20" s="137" t="n">
        <x:f>D17+D19</x:f>
        <x:v>3218.0267384453587</x:v>
      </x:c>
      <x:c r="E20" s="137" t="n">
        <x:f>E17+E19</x:f>
        <x:v>3454.956233514939</x:v>
      </x:c>
      <x:c r="F20" s="137" t="n">
        <x:f>F17+F19</x:f>
        <x:v>3706.881640003008</x:v>
      </x:c>
      <x:c r="G20" s="39"/>
      <x:c r="H20" s="39"/>
    </x:row>
    <x:row r="21">
      <x:c r="A21" s="39" t="str">
        <x:v>Interest expense</x:v>
      </x:c>
      <x:c r="B21" s="137" t="n">
        <x:f>'Debt Interest Lease'!B$9</x:f>
        <x:v>120.25</x:v>
      </x:c>
      <x:c r="C21" s="137" t="n">
        <x:f>'Debt Interest Lease'!C$9</x:f>
        <x:v>109.19999999999999</x:v>
      </x:c>
      <x:c r="D21" s="137" t="n">
        <x:f>'Debt Interest Lease'!D$9</x:f>
        <x:v>91.25</x:v>
      </x:c>
      <x:c r="E21" s="137" t="n">
        <x:f>'Debt Interest Lease'!E$9</x:f>
        <x:v>74.72500000000001</x:v>
      </x:c>
      <x:c r="F21" s="137" t="n">
        <x:f>'Debt Interest Lease'!F$9</x:f>
        <x:v>58.800000000000004</x:v>
      </x:c>
      <x:c r="G21" s="39"/>
      <x:c r="H21" s="39"/>
    </x:row>
    <x:row r="22">
      <x:c r="A22" s="39" t="str">
        <x:v>Pretax income</x:v>
      </x:c>
      <x:c r="B22" s="137" t="n">
        <x:f>B17-B21</x:f>
        <x:v>1486.2661901499991</x:v>
      </x:c>
      <x:c r="C22" s="137" t="n">
        <x:f>C17-C21</x:f>
        <x:v>1804.9634412609996</x:v>
      </x:c>
      <x:c r="D22" s="137" t="n">
        <x:f>D17-D21</x:f>
        <x:v>2159.160540563665</x:v>
      </x:c>
      <x:c r="E22" s="137" t="n">
        <x:f>E17-E21</x:f>
        <x:v>2405.4462144315535</x:v>
      </x:c>
      <x:c r="F22" s="137" t="n">
        <x:f>F17-F21</x:f>
        <x:v>2641.528516850511</x:v>
      </x:c>
      <x:c r="G22" s="39"/>
      <x:c r="H22" s="39"/>
    </x:row>
    <x:row r="23">
      <x:c r="A23" s="39" t="str">
        <x:v>Book taxes</x:v>
      </x:c>
      <x:c r="B23" s="137" t="n">
        <x:f>B22*'Model Control Panel'!$B$25</x:f>
        <x:v>364.1352165867498</x:v>
      </x:c>
      <x:c r="C23" s="137" t="n">
        <x:f>C22*'Model Control Panel'!$B$25</x:f>
        <x:v>442.2160431089449</x:v>
      </x:c>
      <x:c r="D23" s="137" t="n">
        <x:f>D22*'Model Control Panel'!$B$25</x:f>
        <x:v>528.9943324380979</x:v>
      </x:c>
      <x:c r="E23" s="137" t="n">
        <x:f>E22*'Model Control Panel'!$B$25</x:f>
        <x:v>589.3343225357306</x:v>
      </x:c>
      <x:c r="F23" s="137" t="n">
        <x:f>F22*'Model Control Panel'!$B$25</x:f>
        <x:v>647.1744866283752</x:v>
      </x:c>
      <x:c r="G23" s="39"/>
      <x:c r="H23" s="39"/>
    </x:row>
    <x:row r="24">
      <x:c r="A24" s="39" t="str">
        <x:v>Cash taxes</x:v>
      </x:c>
      <x:c r="B24" s="137" t="n">
        <x:f>MAX(B22,0)*'Assumptions &amp; Sources'!B$111</x:f>
        <x:v>364.1352165867498</x:v>
      </x:c>
      <x:c r="C24" s="137" t="n">
        <x:f>MAX(C22,0)*'Assumptions &amp; Sources'!C$111</x:f>
        <x:v>442.2160431089449</x:v>
      </x:c>
      <x:c r="D24" s="137" t="n">
        <x:f>MAX(D22,0)*'Assumptions &amp; Sources'!D$111</x:f>
        <x:v>528.9943324380979</x:v>
      </x:c>
      <x:c r="E24" s="137" t="n">
        <x:f>MAX(E22,0)*'Assumptions &amp; Sources'!E$111</x:f>
        <x:v>589.3343225357306</x:v>
      </x:c>
      <x:c r="F24" s="137" t="n">
        <x:f>MAX(F22,0)*'Assumptions &amp; Sources'!F$111</x:f>
        <x:v>647.1744866283752</x:v>
      </x:c>
      <x:c r="G24" s="39"/>
      <x:c r="H24" s="39"/>
    </x:row>
    <x:row r="25">
      <x:c r="A25" s="80" t="str">
        <x:v>Net income</x:v>
      </x:c>
      <x:c r="B25" s="138" t="n">
        <x:f>B22-B23</x:f>
        <x:v>1122.1309735632494</x:v>
      </x:c>
      <x:c r="C25" s="138" t="n">
        <x:f>C22-C23</x:f>
        <x:v>1362.7473981520548</x:v>
      </x:c>
      <x:c r="D25" s="138" t="n">
        <x:f>D22-D23</x:f>
        <x:v>1630.1662081255672</x:v>
      </x:c>
      <x:c r="E25" s="138" t="n">
        <x:f>E22-E23</x:f>
        <x:v>1816.1118918958227</x:v>
      </x:c>
      <x:c r="F25" s="139" t="n">
        <x:f>F22-F23</x:f>
        <x:v>1994.3540302221359</x:v>
      </x:c>
      <x:c r="G25" s="39"/>
      <x:c r="H25" s="39"/>
    </x:row>
    <x:row r="26">
      <x:c r="A26" s="39" t="str">
        <x:v>Weighted-average diluted shares</x:v>
      </x:c>
      <x:c r="B26" s="141" t="n">
        <x:f>'Share Count Capital Alloc'!B$13</x:f>
        <x:v>86.3</x:v>
      </x:c>
      <x:c r="C26" s="141" t="n">
        <x:f>'Share Count Capital Alloc'!C$13</x:f>
        <x:v>85.82307692307691</x:v>
      </x:c>
      <x:c r="D26" s="141" t="n">
        <x:f>'Share Count Capital Alloc'!D$13</x:f>
        <x:v>85.08041310541309</x:v>
      </x:c>
      <x:c r="E26" s="141" t="n">
        <x:f>'Share Count Capital Alloc'!E$13</x:f>
        <x:v>84.06110093610091</x:v>
      </x:c>
      <x:c r="F26" s="141" t="n">
        <x:f>'Share Count Capital Alloc'!F$13</x:f>
        <x:v>82.89546054201224</x:v>
      </x:c>
      <x:c r="G26" s="39"/>
      <x:c r="H26" s="39"/>
    </x:row>
    <x:row r="27">
      <x:c r="A27" s="39" t="str">
        <x:v>EPS</x:v>
      </x:c>
      <x:c r="B27" s="142" t="n">
        <x:f>B25/B26</x:f>
        <x:v>13.002676402818649</x:v>
      </x:c>
      <x:c r="C27" s="142" t="n">
        <x:f>C25/C26</x:f>
        <x:v>15.878566080466715</x:v>
      </x:c>
      <x:c r="D27" s="142" t="n">
        <x:f>D25/D26</x:f>
        <x:v>19.160299634486034</x:v>
      </x:c>
      <x:c r="E27" s="142" t="n">
        <x:f>E25/E26</x:f>
        <x:v>21.604664603147906</x:v>
      </x:c>
      <x:c r="F27" s="142" t="n">
        <x:f>F25/F26</x:f>
        <x:v>24.058663974867205</x:v>
      </x:c>
      <x:c r="G27" s="39"/>
      <x:c r="H27" s="39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Working capital schedule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Inventory, receivables and payables are modeled from operating days.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Revenue</x:v>
      </x:c>
      <x:c r="B6" s="106" t="n">
        <x:f>'Consolidated Income Statement'!B8</x:f>
        <x:v>23313.96905</x:v>
      </x:c>
      <x:c r="C6" s="106" t="n">
        <x:f>'Consolidated Income Statement'!C8</x:f>
        <x:v>24013.808470999997</x:v>
      </x:c>
      <x:c r="D6" s="106" t="n">
        <x:f>'Consolidated Income Statement'!D8</x:f>
        <x:v>24810.671740556245</x:v>
      </x:c>
      <x:c r="E6" s="106" t="n">
        <x:f>'Consolidated Income Statement'!E8</x:f>
        <x:v>25652.237344299618</x:v>
      </x:c>
      <x:c r="F6" s="106" t="n">
        <x:f>'Consolidated Income Statement'!F8</x:f>
        <x:v>26488.24008296044</x:v>
      </x:c>
      <x:c r="G6" s="39"/>
      <x:c r="H6" s="39"/>
    </x:row>
    <x:row r="7">
      <x:c r="A7" s="39" t="str">
        <x:v>Gross profit</x:v>
      </x:c>
      <x:c r="B7" s="106" t="n">
        <x:f>'Consolidated Income Statement'!B9</x:f>
        <x:v>7918.985273349999</x:v>
      </x:c>
      <x:c r="C7" s="106" t="n">
        <x:f>'Consolidated Income Statement'!C9</x:f>
        <x:v>8254.651633241</x:v>
      </x:c>
      <x:c r="D7" s="106" t="n">
        <x:f>'Consolidated Income Statement'!D9</x:f>
        <x:v>8621.363091558142</x:v>
      </x:c>
      <x:c r="E7" s="106" t="n">
        <x:f>'Consolidated Income Statement'!E9</x:f>
        <x:v>8970.382008623099</x:v>
      </x:c>
      <x:c r="F7" s="106" t="n">
        <x:f>'Consolidated Income Statement'!F9</x:f>
        <x:v>9319.96458956382</x:v>
      </x:c>
      <x:c r="G7" s="39"/>
      <x:c r="H7" s="39"/>
    </x:row>
    <x:row r="8">
      <x:c r="A8" s="39" t="str">
        <x:v>COGS</x:v>
      </x:c>
      <x:c r="B8" s="106" t="n">
        <x:f>B6-B7</x:f>
        <x:v>15394.98377665</x:v>
      </x:c>
      <x:c r="C8" s="106" t="n">
        <x:f>C6-C7</x:f>
        <x:v>15759.156837758997</x:v>
      </x:c>
      <x:c r="D8" s="106" t="n">
        <x:f>D6-D7</x:f>
        <x:v>16189.308648998103</x:v>
      </x:c>
      <x:c r="E8" s="106" t="n">
        <x:f>E6-E7</x:f>
        <x:v>16681.85533567652</x:v>
      </x:c>
      <x:c r="F8" s="106" t="n">
        <x:f>F6-F7</x:f>
        <x:v>17168.27549339662</x:v>
      </x:c>
      <x:c r="G8" s="39"/>
      <x:c r="H8" s="39"/>
    </x:row>
    <x:row r="9">
      <x:c r="A9" s="39" t="str">
        <x:v>Inventory days</x:v>
      </x:c>
      <x:c r="B9" s="106" t="n">
        <x:f>'Assumptions &amp; Sources'!B$51</x:f>
        <x:v>105</x:v>
      </x:c>
      <x:c r="C9" s="106" t="n">
        <x:f>'Assumptions &amp; Sources'!C$51</x:f>
        <x:v>105</x:v>
      </x:c>
      <x:c r="D9" s="106" t="n">
        <x:f>'Assumptions &amp; Sources'!D$51</x:f>
        <x:v>105</x:v>
      </x:c>
      <x:c r="E9" s="106" t="n">
        <x:f>'Assumptions &amp; Sources'!E$51</x:f>
        <x:v>105</x:v>
      </x:c>
      <x:c r="F9" s="106" t="n">
        <x:f>'Assumptions &amp; Sources'!F$51</x:f>
        <x:v>105</x:v>
      </x:c>
      <x:c r="G9" s="39"/>
      <x:c r="H9" s="39"/>
    </x:row>
    <x:row r="10">
      <x:c r="A10" s="39" t="str">
        <x:v>Inventory</x:v>
      </x:c>
      <x:c r="B10" s="106" t="n">
        <x:f>B8*B9/365</x:f>
        <x:v>4428.693963145891</x:v>
      </x:c>
      <x:c r="C10" s="106" t="n">
        <x:f>C8*C9/365</x:f>
        <x:v>4533.456076615602</x:v>
      </x:c>
      <x:c r="D10" s="106" t="n">
        <x:f>D8*D9/365</x:f>
        <x:v>4657.198378478906</x:v>
      </x:c>
      <x:c r="E10" s="106" t="n">
        <x:f>E8*E9/365</x:f>
        <x:v>4798.889891085026</x:v>
      </x:c>
      <x:c r="F10" s="106" t="n">
        <x:f>F8*F9/365</x:f>
        <x:v>4938.818977552452</x:v>
      </x:c>
      <x:c r="G10" s="39"/>
      <x:c r="H10" s="39"/>
    </x:row>
    <x:row r="11">
      <x:c r="A11" s="39" t="str">
        <x:v>Receivable days</x:v>
      </x:c>
      <x:c r="B11" s="106" t="n">
        <x:f>'Assumptions &amp; Sources'!B$56</x:f>
        <x:v>4</x:v>
      </x:c>
      <x:c r="C11" s="106" t="n">
        <x:f>'Assumptions &amp; Sources'!C$56</x:f>
        <x:v>4</x:v>
      </x:c>
      <x:c r="D11" s="106" t="n">
        <x:f>'Assumptions &amp; Sources'!D$56</x:f>
        <x:v>4</x:v>
      </x:c>
      <x:c r="E11" s="106" t="n">
        <x:f>'Assumptions &amp; Sources'!E$56</x:f>
        <x:v>4</x:v>
      </x:c>
      <x:c r="F11" s="106" t="n">
        <x:f>'Assumptions &amp; Sources'!F$56</x:f>
        <x:v>4</x:v>
      </x:c>
      <x:c r="G11" s="39"/>
      <x:c r="H11" s="39"/>
    </x:row>
    <x:row r="12">
      <x:c r="A12" s="39" t="str">
        <x:v>Accounts receivable</x:v>
      </x:c>
      <x:c r="B12" s="106" t="n">
        <x:f>B6*B11/365</x:f>
        <x:v>255.49555123287672</x:v>
      </x:c>
      <x:c r="C12" s="106" t="n">
        <x:f>C6*C11/365</x:f>
        <x:v>263.165024339726</x:v>
      </x:c>
      <x:c r="D12" s="106" t="n">
        <x:f>D6*D11/365</x:f>
        <x:v>271.8977724992465</x:v>
      </x:c>
      <x:c r="E12" s="106" t="n">
        <x:f>E6*E11/365</x:f>
        <x:v>281.12040925259856</x:v>
      </x:c>
      <x:c r="F12" s="106" t="n">
        <x:f>F6*F11/365</x:f>
        <x:v>290.28208310093635</x:v>
      </x:c>
      <x:c r="G12" s="39"/>
      <x:c r="H12" s="39"/>
    </x:row>
    <x:row r="13">
      <x:c r="A13" s="39" t="str">
        <x:v>Payable days</x:v>
      </x:c>
      <x:c r="B13" s="106" t="n">
        <x:f>'Assumptions &amp; Sources'!B$61</x:f>
        <x:v>45</x:v>
      </x:c>
      <x:c r="C13" s="106" t="n">
        <x:f>'Assumptions &amp; Sources'!C$61</x:f>
        <x:v>45</x:v>
      </x:c>
      <x:c r="D13" s="106" t="n">
        <x:f>'Assumptions &amp; Sources'!D$61</x:f>
        <x:v>45</x:v>
      </x:c>
      <x:c r="E13" s="106" t="n">
        <x:f>'Assumptions &amp; Sources'!E$61</x:f>
        <x:v>45</x:v>
      </x:c>
      <x:c r="F13" s="106" t="n">
        <x:f>'Assumptions &amp; Sources'!F$61</x:f>
        <x:v>45</x:v>
      </x:c>
      <x:c r="G13" s="39"/>
      <x:c r="H13" s="39"/>
    </x:row>
    <x:row r="14">
      <x:c r="A14" s="39" t="str">
        <x:v>Accounts payable</x:v>
      </x:c>
      <x:c r="B14" s="106" t="n">
        <x:f>B8*B13/365</x:f>
        <x:v>1898.011698491096</x:v>
      </x:c>
      <x:c r="C14" s="106" t="n">
        <x:f>C8*C13/365</x:f>
        <x:v>1942.909747120972</x:v>
      </x:c>
      <x:c r="D14" s="106" t="n">
        <x:f>D8*D13/365</x:f>
        <x:v>1995.9421622052457</x:v>
      </x:c>
      <x:c r="E14" s="106" t="n">
        <x:f>E8*E13/365</x:f>
        <x:v>2056.667096179297</x:v>
      </x:c>
      <x:c r="F14" s="106" t="n">
        <x:f>F8*F13/365</x:f>
        <x:v>2116.6367046653368</x:v>
      </x:c>
      <x:c r="G14" s="39"/>
      <x:c r="H14" s="39"/>
    </x:row>
    <x:row r="15">
      <x:c r="A15" s="39" t="str">
        <x:v>Other current assets/(liabilities) %</x:v>
      </x:c>
      <x:c r="B15" s="140" t="n">
        <x:f>'Assumptions &amp; Sources'!B$66</x:f>
        <x:v>-0.015</x:v>
      </x:c>
      <x:c r="C15" s="140" t="n">
        <x:f>'Assumptions &amp; Sources'!C$66</x:f>
        <x:v>-0.015</x:v>
      </x:c>
      <x:c r="D15" s="140" t="n">
        <x:f>'Assumptions &amp; Sources'!D$66</x:f>
        <x:v>-0.015</x:v>
      </x:c>
      <x:c r="E15" s="140" t="n">
        <x:f>'Assumptions &amp; Sources'!E$66</x:f>
        <x:v>-0.015</x:v>
      </x:c>
      <x:c r="F15" s="140" t="n">
        <x:f>'Assumptions &amp; Sources'!F$66</x:f>
        <x:v>-0.015</x:v>
      </x:c>
      <x:c r="G15" s="39"/>
      <x:c r="H15" s="39"/>
    </x:row>
    <x:row r="16">
      <x:c r="A16" s="39" t="str">
        <x:v>Other current assets</x:v>
      </x:c>
      <x:c r="B16" s="106" t="n">
        <x:f>MAX(B6*B15,0)</x:f>
        <x:v>0</x:v>
      </x:c>
      <x:c r="C16" s="106" t="n">
        <x:f>MAX(C6*C15,0)</x:f>
        <x:v>0</x:v>
      </x:c>
      <x:c r="D16" s="106" t="n">
        <x:f>MAX(D6*D15,0)</x:f>
        <x:v>0</x:v>
      </x:c>
      <x:c r="E16" s="106" t="n">
        <x:f>MAX(E6*E15,0)</x:f>
        <x:v>0</x:v>
      </x:c>
      <x:c r="F16" s="106" t="n">
        <x:f>MAX(F6*F15,0)</x:f>
        <x:v>0</x:v>
      </x:c>
      <x:c r="G16" s="39"/>
      <x:c r="H16" s="39"/>
    </x:row>
    <x:row r="17">
      <x:c r="A17" s="39" t="str">
        <x:v>Other current liabilities</x:v>
      </x:c>
      <x:c r="B17" s="106" t="n">
        <x:f>MAX(-B6*B15,0)</x:f>
        <x:v>349.70953575</x:v>
      </x:c>
      <x:c r="C17" s="106" t="n">
        <x:f>MAX(-C6*C15,0)</x:f>
        <x:v>360.20712706499995</x:v>
      </x:c>
      <x:c r="D17" s="106" t="n">
        <x:f>MAX(-D6*D15,0)</x:f>
        <x:v>372.1600761083437</x:v>
      </x:c>
      <x:c r="E17" s="106" t="n">
        <x:f>MAX(-E6*E15,0)</x:f>
        <x:v>384.78356016449425</x:v>
      </x:c>
      <x:c r="F17" s="106" t="n">
        <x:f>MAX(-F6*F15,0)</x:f>
        <x:v>397.32360124440663</x:v>
      </x:c>
      <x:c r="G17" s="39"/>
      <x:c r="H17" s="39"/>
    </x:row>
    <x:row r="18">
      <x:c r="A18" s="80" t="str">
        <x:v>Operating NWC</x:v>
      </x:c>
      <x:c r="B18" s="109" t="n">
        <x:f>B10+B12+B16-B14-B17</x:f>
        <x:v>2436.468280137672</x:v>
      </x:c>
      <x:c r="C18" s="109" t="n">
        <x:f>C10+C12+C16-C14-C17</x:f>
        <x:v>2493.504226769356</x:v>
      </x:c>
      <x:c r="D18" s="109" t="n">
        <x:f>D10+D12+D16-D14-D17</x:f>
        <x:v>2560.993912664563</x:v>
      </x:c>
      <x:c r="E18" s="109" t="n">
        <x:f>E10+E12+E16-E14-E17</x:f>
        <x:v>2638.559643993833</x:v>
      </x:c>
      <x:c r="F18" s="110" t="n">
        <x:f>F10+F12+F16-F14-F17</x:f>
        <x:v>2715.1407547436456</x:v>
      </x:c>
      <x:c r="G18" s="39"/>
      <x:c r="H18" s="39"/>
    </x:row>
    <x:row r="19">
      <x:c r="A19" s="39" t="str">
        <x:v>Change in NWC</x:v>
      </x:c>
      <x:c r="B19" s="106" t="n">
        <x:f>B18-3875</x:f>
        <x:v>-1438.531719862328</x:v>
      </x:c>
      <x:c r="C19" s="106" t="n">
        <x:f>C18-B18</x:f>
        <x:v>57.035946631684055</x:v>
      </x:c>
      <x:c r="D19" s="106" t="n">
        <x:f>D18-C18</x:f>
        <x:v>67.489685895207</x:v>
      </x:c>
      <x:c r="E19" s="106" t="n">
        <x:f>E18-D18</x:f>
        <x:v>77.56573132926997</x:v>
      </x:c>
      <x:c r="F19" s="106" t="n">
        <x:f>F18-E18</x:f>
        <x:v>76.58111074981252</x:v>
      </x:c>
      <x:c r="G19" s="39"/>
      <x:c r="H19" s="3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Capital expenditures and depreciation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PP&amp;E is independently rolled forward.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Revenue</x:v>
      </x:c>
      <x:c r="B6" s="106" t="n">
        <x:f>'Consolidated Income Statement'!B8</x:f>
        <x:v>23313.96905</x:v>
      </x:c>
      <x:c r="C6" s="106" t="n">
        <x:f>'Consolidated Income Statement'!C8</x:f>
        <x:v>24013.808470999997</x:v>
      </x:c>
      <x:c r="D6" s="106" t="n">
        <x:f>'Consolidated Income Statement'!D8</x:f>
        <x:v>24810.671740556245</x:v>
      </x:c>
      <x:c r="E6" s="106" t="n">
        <x:f>'Consolidated Income Statement'!E8</x:f>
        <x:v>25652.237344299618</x:v>
      </x:c>
      <x:c r="F6" s="106" t="n">
        <x:f>'Consolidated Income Statement'!F8</x:f>
        <x:v>26488.24008296044</x:v>
      </x:c>
      <x:c r="G6" s="39"/>
      <x:c r="H6" s="39"/>
    </x:row>
    <x:row r="7">
      <x:c r="A7" s="39" t="str">
        <x:v>Capital expenditures % revenue</x:v>
      </x:c>
      <x:c r="B7" s="140" t="n">
        <x:f>'Assumptions &amp; Sources'!B$41</x:f>
        <x:v>0.055</x:v>
      </x:c>
      <x:c r="C7" s="140" t="n">
        <x:f>'Assumptions &amp; Sources'!C$41</x:f>
        <x:v>0.052</x:v>
      </x:c>
      <x:c r="D7" s="140" t="n">
        <x:f>'Assumptions &amp; Sources'!D$41</x:f>
        <x:v>0.049</x:v>
      </x:c>
      <x:c r="E7" s="140" t="n">
        <x:f>'Assumptions &amp; Sources'!E$41</x:f>
        <x:v>0.047</x:v>
      </x:c>
      <x:c r="F7" s="140" t="n">
        <x:f>'Assumptions &amp; Sources'!F$41</x:f>
        <x:v>0.046</x:v>
      </x:c>
      <x:c r="G7" s="39"/>
      <x:c r="H7" s="39"/>
    </x:row>
    <x:row r="8">
      <x:c r="A8" s="39" t="str">
        <x:v>Segment capital expenditures</x:v>
      </x:c>
      <x:c r="B8" s="106" t="n">
        <x:f>'Legacy DICK''S Operating Model'!B22+'Foot Locker Operating Model'!B22</x:f>
        <x:v>921.1800000000001</x:v>
      </x:c>
      <x:c r="C8" s="106" t="n">
        <x:f>'Legacy DICK''S Operating Model'!C22+'Foot Locker Operating Model'!C22</x:f>
        <x:v>963.6</x:v>
      </x:c>
      <x:c r="D8" s="106" t="n">
        <x:f>'Legacy DICK''S Operating Model'!D22+'Foot Locker Operating Model'!D22</x:f>
        <x:v>1010.5799999999999</x:v>
      </x:c>
      <x:c r="E8" s="106" t="n">
        <x:f>'Legacy DICK''S Operating Model'!E22+'Foot Locker Operating Model'!E22</x:f>
        <x:v>975.62</x:v>
      </x:c>
      <x:c r="F8" s="106" t="n">
        <x:f>'Legacy DICK''S Operating Model'!F22+'Foot Locker Operating Model'!F22</x:f>
        <x:v>941.6199999999999</x:v>
      </x:c>
      <x:c r="G8" s="39"/>
      <x:c r="H8" s="39"/>
    </x:row>
    <x:row r="9">
      <x:c r="A9" s="39" t="str">
        <x:v>Capital expenditures</x:v>
      </x:c>
      <x:c r="B9" s="106" t="n">
        <x:f>MAX(B6*B7,B8)</x:f>
        <x:v>1282.26829775</x:v>
      </x:c>
      <x:c r="C9" s="106" t="n">
        <x:f>MAX(C6*C7,C8)</x:f>
        <x:v>1248.7180404919998</x:v>
      </x:c>
      <x:c r="D9" s="106" t="n">
        <x:f>MAX(D6*D7,D8)</x:f>
        <x:v>1215.722915287256</x:v>
      </x:c>
      <x:c r="E9" s="106" t="n">
        <x:f>MAX(E6*E7,E8)</x:f>
        <x:v>1205.6551551820821</x:v>
      </x:c>
      <x:c r="F9" s="106" t="n">
        <x:f>MAX(F6*F7,F8)</x:f>
        <x:v>1218.4590438161804</x:v>
      </x:c>
      <x:c r="G9" s="39"/>
      <x:c r="H9" s="39"/>
    </x:row>
    <x:row r="10">
      <x:c r="A10" s="39" t="str">
        <x:v>Beginning PP&amp;E</x:v>
      </x:c>
      <x:c r="B10" s="106" t="n">
        <x:f>5300</x:f>
        <x:v>5300</x:v>
      </x:c>
      <x:c r="C10" s="106" t="n">
        <x:f>B13</x:f>
        <x:v>5626.3955667</x:v>
      </x:c>
      <x:c r="D10" s="106" t="n">
        <x:f>C13</x:f>
        <x:v>5914.561268352</x:v>
      </x:c>
      <x:c r="E10" s="106" t="n">
        <x:f>D13</x:f>
        <x:v>6162.667985757563</x:v>
      </x:c>
      <x:c r="F10" s="106" t="n">
        <x:f>E13</x:f>
        <x:v>6393.53812185626</x:v>
      </x:c>
      <x:c r="G10" s="39"/>
      <x:c r="H10" s="39"/>
    </x:row>
    <x:row r="11">
      <x:c r="A11" s="39" t="str">
        <x:v>Depreciation % revenue</x:v>
      </x:c>
      <x:c r="B11" s="140" t="n">
        <x:f>'Assumptions &amp; Sources'!B$46</x:f>
        <x:v>0.041</x:v>
      </x:c>
      <x:c r="C11" s="140" t="n">
        <x:f>'Assumptions &amp; Sources'!C$46</x:f>
        <x:v>0.04</x:v>
      </x:c>
      <x:c r="D11" s="140" t="n">
        <x:f>'Assumptions &amp; Sources'!D$46</x:f>
        <x:v>0.039</x:v>
      </x:c>
      <x:c r="E11" s="140" t="n">
        <x:f>'Assumptions &amp; Sources'!E$46</x:f>
        <x:v>0.038</x:v>
      </x:c>
      <x:c r="F11" s="140" t="n">
        <x:f>'Assumptions &amp; Sources'!F$46</x:f>
        <x:v>0.038</x:v>
      </x:c>
      <x:c r="G11" s="39"/>
      <x:c r="H11" s="39"/>
    </x:row>
    <x:row r="12">
      <x:c r="A12" s="39" t="str">
        <x:v>Depreciation</x:v>
      </x:c>
      <x:c r="B12" s="106" t="n">
        <x:f>B6*B11</x:f>
        <x:v>955.8727310500001</x:v>
      </x:c>
      <x:c r="C12" s="106" t="n">
        <x:f>C6*C11</x:f>
        <x:v>960.5523388399998</x:v>
      </x:c>
      <x:c r="D12" s="106" t="n">
        <x:f>D6*D11</x:f>
        <x:v>967.6161978816936</x:v>
      </x:c>
      <x:c r="E12" s="106" t="n">
        <x:f>E6*E11</x:f>
        <x:v>974.7850190833855</x:v>
      </x:c>
      <x:c r="F12" s="106" t="n">
        <x:f>F6*F11</x:f>
        <x:v>1006.5531231524967</x:v>
      </x:c>
      <x:c r="G12" s="39"/>
      <x:c r="H12" s="39"/>
    </x:row>
    <x:row r="13">
      <x:c r="A13" s="80" t="str">
        <x:v>Ending PP&amp;E</x:v>
      </x:c>
      <x:c r="B13" s="109" t="n">
        <x:f>B10+B9-B12</x:f>
        <x:v>5626.3955667</x:v>
      </x:c>
      <x:c r="C13" s="109" t="n">
        <x:f>C10+C9-C12</x:f>
        <x:v>5914.561268352</x:v>
      </x:c>
      <x:c r="D13" s="109" t="n">
        <x:f>D10+D9-D12</x:f>
        <x:v>6162.667985757563</x:v>
      </x:c>
      <x:c r="E13" s="109" t="n">
        <x:f>E10+E9-E12</x:f>
        <x:v>6393.53812185626</x:v>
      </x:c>
      <x:c r="F13" s="110" t="n">
        <x:f>F10+F9-F12</x:f>
        <x:v>6605.444042519944</x:v>
      </x:c>
      <x:c r="G13" s="39"/>
      <x:c r="H13" s="39"/>
    </x:row>
    <x:row r="14">
      <x:c r="A14" s="39" t="str">
        <x:v>Rollforward check</x:v>
      </x:c>
      <x:c r="B14" s="106" t="n">
        <x:f>B13-B10-B9+B12</x:f>
        <x:v>0</x:v>
      </x:c>
      <x:c r="C14" s="106" t="n">
        <x:f>C13-C10-C9+C12</x:f>
        <x:v>3.410605131648481e-13</x:v>
      </x:c>
      <x:c r="D14" s="106" t="n">
        <x:f>D13-D10-D9+D12</x:f>
        <x:v>0</x:v>
      </x:c>
      <x:c r="E14" s="106" t="n">
        <x:f>E13-E10-E9+E12</x:f>
        <x:v>3.410605131648481e-13</x:v>
      </x:c>
      <x:c r="F14" s="106" t="n">
        <x:f>F13-F10-F9+F12</x:f>
        <x:v>2.2737367544323206e-13</x:v>
      </x:c>
      <x:c r="G14" s="39"/>
      <x:c r="H14" s="39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Debt, interest and leases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Debt capacity can become infeasible. Operating leases remain in operations and are excluded from net debt.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Beginning debt</x:v>
      </x:c>
      <x:c r="B6" s="137" t="n">
        <x:f>2400</x:f>
        <x:v>2400</x:v>
      </x:c>
      <x:c r="C6" s="137" t="n">
        <x:f>B14</x:f>
        <x:v>2225</x:v>
      </x:c>
      <x:c r="D6" s="137" t="n">
        <x:f>C14</x:f>
        <x:v>1975</x:v>
      </x:c>
      <x:c r="E6" s="137" t="n">
        <x:f>D14</x:f>
        <x:v>1675</x:v>
      </x:c>
      <x:c r="F6" s="137" t="n">
        <x:f>E14</x:f>
        <x:v>1375</x:v>
      </x:c>
      <x:c r="G6" s="39"/>
      <x:c r="H6" s="39"/>
    </x:row>
    <x:row r="7">
      <x:c r="A7" s="39" t="str">
        <x:v>Scheduled repayment</x:v>
      </x:c>
      <x:c r="B7" s="137" t="n">
        <x:f>MIN(B6,'Assumptions &amp; Sources'!B$76)</x:f>
        <x:v>175</x:v>
      </x:c>
      <x:c r="C7" s="137" t="n">
        <x:f>MIN(C6,'Assumptions &amp; Sources'!C$76)</x:f>
        <x:v>250</x:v>
      </x:c>
      <x:c r="D7" s="137" t="n">
        <x:f>MIN(D6,'Assumptions &amp; Sources'!D$76)</x:f>
        <x:v>300</x:v>
      </x:c>
      <x:c r="E7" s="137" t="n">
        <x:f>MIN(E6,'Assumptions &amp; Sources'!E$76)</x:f>
        <x:v>300</x:v>
      </x:c>
      <x:c r="F7" s="137" t="n">
        <x:f>MIN(F6,'Assumptions &amp; Sources'!F$76)</x:f>
        <x:v>300</x:v>
      </x:c>
      <x:c r="G7" s="39"/>
      <x:c r="H7" s="39"/>
    </x:row>
    <x:row r="8">
      <x:c r="A8" s="39" t="str">
        <x:v>Interest rate</x:v>
      </x:c>
      <x:c r="B8" s="140" t="n">
        <x:f>'Assumptions &amp; Sources'!B$71</x:f>
        <x:v>0.052</x:v>
      </x:c>
      <x:c r="C8" s="140" t="n">
        <x:f>'Assumptions &amp; Sources'!C$71</x:f>
        <x:v>0.052</x:v>
      </x:c>
      <x:c r="D8" s="140" t="n">
        <x:f>'Assumptions &amp; Sources'!D$71</x:f>
        <x:v>0.05</x:v>
      </x:c>
      <x:c r="E8" s="140" t="n">
        <x:f>'Assumptions &amp; Sources'!E$71</x:f>
        <x:v>0.049</x:v>
      </x:c>
      <x:c r="F8" s="140" t="n">
        <x:f>'Assumptions &amp; Sources'!F$71</x:f>
        <x:v>0.048</x:v>
      </x:c>
      <x:c r="G8" s="39"/>
      <x:c r="H8" s="39"/>
    </x:row>
    <x:row r="9">
      <x:c r="A9" s="39" t="str">
        <x:v>Interest expense</x:v>
      </x:c>
      <x:c r="B9" s="137" t="n">
        <x:f>MAX(B6-B7*0.5,0)*B8</x:f>
        <x:v>120.25</x:v>
      </x:c>
      <x:c r="C9" s="137" t="n">
        <x:f>MAX(C6-C7*0.5,0)*C8</x:f>
        <x:v>109.19999999999999</x:v>
      </x:c>
      <x:c r="D9" s="137" t="n">
        <x:f>MAX(D6-D7*0.5,0)*D8</x:f>
        <x:v>91.25</x:v>
      </x:c>
      <x:c r="E9" s="137" t="n">
        <x:f>MAX(E6-E7*0.5,0)*E8</x:f>
        <x:v>74.72500000000001</x:v>
      </x:c>
      <x:c r="F9" s="137" t="n">
        <x:f>MAX(F6-F7*0.5,0)*F8</x:f>
        <x:v>58.800000000000004</x:v>
      </x:c>
      <x:c r="G9" s="39"/>
      <x:c r="H9" s="39"/>
    </x:row>
    <x:row r="10">
      <x:c r="A10" s="39" t="str">
        <x:v>Pre-financing ending cash</x:v>
      </x:c>
      <x:c r="B10" s="137" t="n">
        <x:f>'Consolidated Cash Flow'!B$21</x:f>
        <x:v>2654.2671267255773</x:v>
      </x:c>
      <x:c r="C10" s="137" t="n">
        <x:f>'Consolidated Cash Flow'!C$21</x:f>
        <x:v>2716.8128765939473</x:v>
      </x:c>
      <x:c r="D10" s="137" t="n">
        <x:f>'Consolidated Cash Flow'!D$21</x:f>
        <x:v>2906.382681418746</x:v>
      </x:c>
      <x:c r="E10" s="137" t="n">
        <x:f>'Consolidated Cash Flow'!E$21</x:f>
        <x:v>3219.058705886602</x:v>
      </x:c>
      <x:c r="F10" s="137" t="n">
        <x:f>'Consolidated Cash Flow'!F$21</x:f>
        <x:v>3659.9257046952416</x:v>
      </x:c>
      <x:c r="G10" s="39"/>
      <x:c r="H10" s="39"/>
    </x:row>
    <x:row r="11">
      <x:c r="A11" s="39" t="str">
        <x:v>Required draw</x:v>
      </x:c>
      <x:c r="B11" s="137" t="n">
        <x:f>MAX('Model Control Panel'!$B$17-B10,0)</x:f>
        <x:v>0</x:v>
      </x:c>
      <x:c r="C11" s="137" t="n">
        <x:f>MAX('Model Control Panel'!$B$17-C10,0)</x:f>
        <x:v>0</x:v>
      </x:c>
      <x:c r="D11" s="137" t="n">
        <x:f>MAX('Model Control Panel'!$B$17-D10,0)</x:f>
        <x:v>0</x:v>
      </x:c>
      <x:c r="E11" s="137" t="n">
        <x:f>MAX('Model Control Panel'!$B$17-E10,0)</x:f>
        <x:v>0</x:v>
      </x:c>
      <x:c r="F11" s="137" t="n">
        <x:f>MAX('Model Control Panel'!$B$17-F10,0)</x:f>
        <x:v>0</x:v>
      </x:c>
      <x:c r="G11" s="39"/>
      <x:c r="H11" s="39"/>
    </x:row>
    <x:row r="12">
      <x:c r="A12" s="39" t="str">
        <x:v>Available revolver capacity</x:v>
      </x:c>
      <x:c r="B12" s="137" t="n">
        <x:f>'Model Control Panel'!$B$18</x:f>
        <x:v>0</x:v>
      </x:c>
      <x:c r="C12" s="137" t="n">
        <x:f>MAX(B12-B13,0)</x:f>
        <x:v>0</x:v>
      </x:c>
      <x:c r="D12" s="137" t="n">
        <x:f>MAX(C12-C13,0)</x:f>
        <x:v>0</x:v>
      </x:c>
      <x:c r="E12" s="137" t="n">
        <x:f>MAX(D12-D13,0)</x:f>
        <x:v>0</x:v>
      </x:c>
      <x:c r="F12" s="137" t="n">
        <x:f>MAX(E12-E13,0)</x:f>
        <x:v>0</x:v>
      </x:c>
      <x:c r="G12" s="39"/>
      <x:c r="H12" s="39"/>
    </x:row>
    <x:row r="13">
      <x:c r="A13" s="39" t="str">
        <x:v>Revolver draw</x:v>
      </x:c>
      <x:c r="B13" s="137" t="n">
        <x:f>MIN(B11,B12)</x:f>
        <x:v>0</x:v>
      </x:c>
      <x:c r="C13" s="137" t="n">
        <x:f>MIN(C11,C12)</x:f>
        <x:v>0</x:v>
      </x:c>
      <x:c r="D13" s="137" t="n">
        <x:f>MIN(D11,D12)</x:f>
        <x:v>0</x:v>
      </x:c>
      <x:c r="E13" s="137" t="n">
        <x:f>MIN(E11,E12)</x:f>
        <x:v>0</x:v>
      </x:c>
      <x:c r="F13" s="137" t="n">
        <x:f>MIN(F11,F12)</x:f>
        <x:v>0</x:v>
      </x:c>
      <x:c r="G13" s="39"/>
      <x:c r="H13" s="39"/>
    </x:row>
    <x:row r="14">
      <x:c r="A14" s="80" t="str">
        <x:v>Ending debt</x:v>
      </x:c>
      <x:c r="B14" s="138" t="n">
        <x:f>B6-B7+B13</x:f>
        <x:v>2225</x:v>
      </x:c>
      <x:c r="C14" s="138" t="n">
        <x:f>C6-C7+C13</x:f>
        <x:v>1975</x:v>
      </x:c>
      <x:c r="D14" s="138" t="n">
        <x:f>D6-D7+D13</x:f>
        <x:v>1675</x:v>
      </x:c>
      <x:c r="E14" s="138" t="n">
        <x:f>E6-E7+E13</x:f>
        <x:v>1375</x:v>
      </x:c>
      <x:c r="F14" s="139" t="n">
        <x:f>F6-F7+F13</x:f>
        <x:v>1075</x:v>
      </x:c>
      <x:c r="G14" s="39"/>
      <x:c r="H14" s="39"/>
    </x:row>
    <x:row r="15">
      <x:c r="A15" s="39" t="str">
        <x:v>Funding shortfall</x:v>
      </x:c>
      <x:c r="B15" s="137" t="n">
        <x:f>B11-B13</x:f>
        <x:v>0</x:v>
      </x:c>
      <x:c r="C15" s="137" t="n">
        <x:f>C11-C13</x:f>
        <x:v>0</x:v>
      </x:c>
      <x:c r="D15" s="137" t="n">
        <x:f>D11-D13</x:f>
        <x:v>0</x:v>
      </x:c>
      <x:c r="E15" s="137" t="n">
        <x:f>E11-E13</x:f>
        <x:v>0</x:v>
      </x:c>
      <x:c r="F15" s="137" t="n">
        <x:f>F11-F13</x:f>
        <x:v>0</x:v>
      </x:c>
      <x:c r="G15" s="39"/>
      <x:c r="H15" s="39"/>
    </x:row>
    <x:row r="16">
      <x:c r="A16" s="39"/>
      <x:c r="B16" s="137"/>
      <x:c r="C16" s="137"/>
      <x:c r="D16" s="137"/>
      <x:c r="E16" s="137"/>
      <x:c r="F16" s="137"/>
      <x:c r="G16" s="39"/>
      <x:c r="H16" s="39"/>
    </x:row>
    <x:row r="17">
      <x:c r="A17" s="39"/>
      <x:c r="B17" s="137"/>
      <x:c r="C17" s="137"/>
      <x:c r="D17" s="137"/>
      <x:c r="E17" s="137"/>
      <x:c r="F17" s="137"/>
      <x:c r="G17" s="39"/>
      <x:c r="H17" s="39"/>
    </x:row>
    <x:row r="18">
      <x:c r="A18" s="80" t="str">
        <x:v>Operating lease and ROU rollforward</x:v>
      </x:c>
      <x:c r="B18" s="146" t="str">
        <x:v>FY2026</x:v>
      </x:c>
      <x:c r="C18" s="146" t="str">
        <x:v>FY2027</x:v>
      </x:c>
      <x:c r="D18" s="146" t="str">
        <x:v>FY2028</x:v>
      </x:c>
      <x:c r="E18" s="146" t="str">
        <x:v>FY2029</x:v>
      </x:c>
      <x:c r="F18" s="147" t="str">
        <x:v>FY2030</x:v>
      </x:c>
      <x:c r="G18" s="39"/>
      <x:c r="H18" s="39"/>
    </x:row>
    <x:row r="19">
      <x:c r="A19" s="39" t="str">
        <x:v>Beginning ROU asset</x:v>
      </x:c>
      <x:c r="B19" s="137" t="n">
        <x:f>4300</x:f>
        <x:v>4300</x:v>
      </x:c>
      <x:c r="C19" s="137" t="n">
        <x:f>B24</x:f>
        <x:v>4515</x:v>
      </x:c>
      <x:c r="D19" s="137" t="n">
        <x:f>C24</x:f>
        <x:v>4740.75</x:v>
      </x:c>
      <x:c r="E19" s="137" t="n">
        <x:f>D24</x:f>
        <x:v>4977.7875</x:v>
      </x:c>
      <x:c r="F19" s="137" t="n">
        <x:f>E24</x:f>
        <x:v>5226.676875</x:v>
      </x:c>
      <x:c r="G19" s="39"/>
      <x:c r="H19" s="39"/>
    </x:row>
    <x:row r="20">
      <x:c r="A20" s="39" t="str">
        <x:v>New operating leases</x:v>
      </x:c>
      <x:c r="B20" s="46" t="n">
        <x:v>322.5</x:v>
      </x:c>
      <x:c r="C20" s="46" t="n">
        <x:v>322.5</x:v>
      </x:c>
      <x:c r="D20" s="46" t="n">
        <x:v>322.5</x:v>
      </x:c>
      <x:c r="E20" s="46" t="n">
        <x:v>322.5</x:v>
      </x:c>
      <x:c r="F20" s="46" t="n">
        <x:v>322.5</x:v>
      </x:c>
      <x:c r="G20" s="39"/>
      <x:c r="H20" s="39"/>
    </x:row>
    <x:row r="21">
      <x:c r="A21" s="39" t="str">
        <x:v>ROU amortization</x:v>
      </x:c>
      <x:c r="B21" s="137" t="n">
        <x:f>MAX(B29-B28,0)</x:f>
        <x:v>107.5</x:v>
      </x:c>
      <x:c r="C21" s="137" t="n">
        <x:f>MAX(C29-C28,0)</x:f>
        <x:v>96.75</x:v>
      </x:c>
      <x:c r="D21" s="137" t="n">
        <x:f>MAX(D29-D28,0)</x:f>
        <x:v>85.46249999999998</x:v>
      </x:c>
      <x:c r="E21" s="137" t="n">
        <x:f>MAX(E29-E28,0)</x:f>
        <x:v>73.61062499999997</x:v>
      </x:c>
      <x:c r="F21" s="137" t="n">
        <x:f>MAX(F29-F28,0)</x:f>
        <x:v>61.16615624999997</x:v>
      </x:c>
      <x:c r="G21" s="39"/>
      <x:c r="H21" s="39"/>
    </x:row>
    <x:row r="22">
      <x:c r="A22" s="39" t="str">
        <x:v>Impairment</x:v>
      </x:c>
      <x:c r="B22" s="46" t="n">
        <x:v>0</x:v>
      </x:c>
      <x:c r="C22" s="46" t="n">
        <x:v>0</x:v>
      </x:c>
      <x:c r="D22" s="46" t="n">
        <x:v>0</x:v>
      </x:c>
      <x:c r="E22" s="46" t="n">
        <x:v>0</x:v>
      </x:c>
      <x:c r="F22" s="46" t="n">
        <x:v>0</x:v>
      </x:c>
      <x:c r="G22" s="39"/>
      <x:c r="H22" s="39"/>
    </x:row>
    <x:row r="23">
      <x:c r="A23" s="39" t="str">
        <x:v>Termination</x:v>
      </x:c>
      <x:c r="B23" s="46" t="n">
        <x:v>0</x:v>
      </x:c>
      <x:c r="C23" s="46" t="n">
        <x:v>0</x:v>
      </x:c>
      <x:c r="D23" s="46" t="n">
        <x:v>0</x:v>
      </x:c>
      <x:c r="E23" s="46" t="n">
        <x:v>0</x:v>
      </x:c>
      <x:c r="F23" s="46" t="n">
        <x:v>0</x:v>
      </x:c>
      <x:c r="G23" s="39"/>
      <x:c r="H23" s="39"/>
    </x:row>
    <x:row r="24">
      <x:c r="A24" s="39" t="str">
        <x:v>Ending ROU asset</x:v>
      </x:c>
      <x:c r="B24" s="137" t="n">
        <x:f>B19+B20-B21-B22-B23</x:f>
        <x:v>4515</x:v>
      </x:c>
      <x:c r="C24" s="137" t="n">
        <x:f>C19+C20-C21-C22-C23</x:f>
        <x:v>4740.75</x:v>
      </x:c>
      <x:c r="D24" s="137" t="n">
        <x:f>D19+D20-D21-D22-D23</x:f>
        <x:v>4977.7875</x:v>
      </x:c>
      <x:c r="E24" s="137" t="n">
        <x:f>E19+E20-E21-E22-E23</x:f>
        <x:v>5226.676875</x:v>
      </x:c>
      <x:c r="F24" s="137" t="n">
        <x:f>F19+F20-F21-F22-F23</x:f>
        <x:v>5488.01071875</x:v>
      </x:c>
      <x:c r="G24" s="39"/>
      <x:c r="H24" s="39"/>
    </x:row>
    <x:row r="25">
      <x:c r="A25" s="39"/>
      <x:c r="B25" s="137"/>
      <x:c r="C25" s="137"/>
      <x:c r="D25" s="137"/>
      <x:c r="E25" s="137"/>
      <x:c r="F25" s="137"/>
      <x:c r="G25" s="39"/>
      <x:c r="H25" s="39"/>
    </x:row>
    <x:row r="26">
      <x:c r="A26" s="39" t="str">
        <x:v>Beginning lease liability</x:v>
      </x:c>
      <x:c r="B26" s="137" t="n">
        <x:f>4300</x:f>
        <x:v>4300</x:v>
      </x:c>
      <x:c r="C26" s="137" t="n">
        <x:f>B30</x:f>
        <x:v>4515</x:v>
      </x:c>
      <x:c r="D26" s="137" t="n">
        <x:f>C30</x:f>
        <x:v>4740.75</x:v>
      </x:c>
      <x:c r="E26" s="137" t="n">
        <x:f>D30</x:f>
        <x:v>4977.7875</x:v>
      </x:c>
      <x:c r="F26" s="137" t="n">
        <x:f>E30</x:f>
        <x:v>5226.676875</x:v>
      </x:c>
      <x:c r="G26" s="39"/>
      <x:c r="H26" s="39"/>
    </x:row>
    <x:row r="27">
      <x:c r="A27" s="39" t="str">
        <x:v>Discount rate</x:v>
      </x:c>
      <x:c r="B27" s="47" t="n">
        <x:v>0.05</x:v>
      </x:c>
      <x:c r="C27" s="47" t="n">
        <x:v>0.05</x:v>
      </x:c>
      <x:c r="D27" s="47" t="n">
        <x:v>0.05</x:v>
      </x:c>
      <x:c r="E27" s="47" t="n">
        <x:v>0.05</x:v>
      </x:c>
      <x:c r="F27" s="47" t="n">
        <x:v>0.05</x:v>
      </x:c>
      <x:c r="G27" s="39"/>
      <x:c r="H27" s="39"/>
    </x:row>
    <x:row r="28">
      <x:c r="A28" s="39" t="str">
        <x:v>Lease interest</x:v>
      </x:c>
      <x:c r="B28" s="137" t="n">
        <x:f>B26*B27</x:f>
        <x:v>215</x:v>
      </x:c>
      <x:c r="C28" s="137" t="n">
        <x:f>C26*C27</x:f>
        <x:v>225.75</x:v>
      </x:c>
      <x:c r="D28" s="137" t="n">
        <x:f>D26*D27</x:f>
        <x:v>237.03750000000002</x:v>
      </x:c>
      <x:c r="E28" s="137" t="n">
        <x:f>E26*E27</x:f>
        <x:v>248.88937500000003</x:v>
      </x:c>
      <x:c r="F28" s="137" t="n">
        <x:f>F26*F27</x:f>
        <x:v>261.33384375</x:v>
      </x:c>
      <x:c r="G28" s="39"/>
      <x:c r="H28" s="39"/>
    </x:row>
    <x:row r="29">
      <x:c r="A29" s="39" t="str">
        <x:v>Cash payment</x:v>
      </x:c>
      <x:c r="B29" s="46" t="n">
        <x:v>322.5</x:v>
      </x:c>
      <x:c r="C29" s="46" t="n">
        <x:v>322.5</x:v>
      </x:c>
      <x:c r="D29" s="46" t="n">
        <x:v>322.5</x:v>
      </x:c>
      <x:c r="E29" s="46" t="n">
        <x:v>322.5</x:v>
      </x:c>
      <x:c r="F29" s="46" t="n">
        <x:v>322.5</x:v>
      </x:c>
      <x:c r="G29" s="39"/>
      <x:c r="H29" s="39"/>
    </x:row>
    <x:row r="30">
      <x:c r="A30" s="80" t="str">
        <x:v>Ending lease liability</x:v>
      </x:c>
      <x:c r="B30" s="138" t="n">
        <x:f>B26+B20+B28-B29-B23</x:f>
        <x:v>4515</x:v>
      </x:c>
      <x:c r="C30" s="138" t="n">
        <x:f>C26+C20+C28-C29-C23</x:f>
        <x:v>4740.75</x:v>
      </x:c>
      <x:c r="D30" s="138" t="n">
        <x:f>D26+D20+D28-D29-D23</x:f>
        <x:v>4977.7875</x:v>
      </x:c>
      <x:c r="E30" s="138" t="n">
        <x:f>E26+E20+E28-E29-E23</x:f>
        <x:v>5226.676875</x:v>
      </x:c>
      <x:c r="F30" s="139" t="n">
        <x:f>F26+F20+F28-F29-F23</x:f>
        <x:v>5488.01071875</x:v>
      </x:c>
      <x:c r="G30" s="39"/>
      <x:c r="H30" s="39"/>
    </x:row>
    <x:row r="31">
      <x:c r="A31" s="39" t="str">
        <x:v>Operating lease expense</x:v>
      </x:c>
      <x:c r="B31" s="137" t="n">
        <x:f>B28+B21</x:f>
        <x:v>322.5</x:v>
      </x:c>
      <x:c r="C31" s="137" t="n">
        <x:f>C28+C21</x:f>
        <x:v>322.5</x:v>
      </x:c>
      <x:c r="D31" s="137" t="n">
        <x:f>D28+D21</x:f>
        <x:v>322.5</x:v>
      </x:c>
      <x:c r="E31" s="137" t="n">
        <x:f>E28+E21</x:f>
        <x:v>322.5</x:v>
      </x:c>
      <x:c r="F31" s="137" t="n">
        <x:f>F28+F21</x:f>
        <x:v>322.5</x:v>
      </x:c>
      <x:c r="G31" s="39"/>
      <x:c r="H31" s="39"/>
    </x:row>
    <x:row r="32">
      <x:c r="A32" s="39" t="str">
        <x:v>CFO adjustment</x:v>
      </x:c>
      <x:c r="B32" s="137" t="n">
        <x:f>B31-B29</x:f>
        <x:v>0</x:v>
      </x:c>
      <x:c r="C32" s="137" t="n">
        <x:f>C31-C29</x:f>
        <x:v>0</x:v>
      </x:c>
      <x:c r="D32" s="137" t="n">
        <x:f>D31-D29</x:f>
        <x:v>0</x:v>
      </x:c>
      <x:c r="E32" s="137" t="n">
        <x:f>E31-E29</x:f>
        <x:v>0</x:v>
      </x:c>
      <x:c r="F32" s="137" t="n">
        <x:f>F31-F29</x:f>
        <x:v>0</x:v>
      </x:c>
      <x:c r="G32" s="39"/>
      <x:c r="H32" s="39"/>
    </x:row>
    <x:row r="33">
      <x:c r="A33" s="39" t="str">
        <x:v>Liability check</x:v>
      </x:c>
      <x:c r="B33" s="137" t="n">
        <x:f>B30-B26-B20-B28+B29+B23</x:f>
        <x:v>0</x:v>
      </x:c>
      <x:c r="C33" s="137" t="n">
        <x:f>C30-C26-C20-C28+C29+C23</x:f>
        <x:v>0</x:v>
      </x:c>
      <x:c r="D33" s="137" t="n">
        <x:f>D30-D26-D20-D28+D29+D23</x:f>
        <x:v>3.410605131648481e-13</x:v>
      </x:c>
      <x:c r="E33" s="137" t="n">
        <x:f>E30-E26-E20-E28+E29+E23</x:f>
        <x:v>-2.8421709430404007e-13</x:v>
      </x:c>
      <x:c r="F33" s="137" t="n">
        <x:f>F30-F26-F20-F28+F29+F23</x:f>
        <x:v>-3.410605131648481e-13</x:v>
      </x:c>
      <x:c r="G33" s="39"/>
      <x:c r="H33" s="39"/>
    </x:row>
    <x:row r="34">
      <x:c r="A34" s="39" t="str">
        <x:v>ROU asset check</x:v>
      </x:c>
      <x:c r="B34" s="137" t="n">
        <x:f>B24-B19-B20+B21+B22+B23</x:f>
        <x:v>0</x:v>
      </x:c>
      <x:c r="C34" s="137" t="n">
        <x:f>C24-C19-C20+C21+C22+C23</x:f>
        <x:v>0</x:v>
      </x:c>
      <x:c r="D34" s="137" t="n">
        <x:f>D24-D19-D20+D21+D22+D23</x:f>
        <x:v>3.410605131648481e-13</x:v>
      </x:c>
      <x:c r="E34" s="137" t="n">
        <x:f>E24-E19-E20+E21+E22+E23</x:f>
        <x:v>-2.8421709430404007e-13</x:v>
      </x:c>
      <x:c r="F34" s="137" t="n">
        <x:f>F24-F19-F20+F21+F22+F23</x:f>
        <x:v>-3.410605131648481e-13</x:v>
      </x:c>
      <x:c r="G34" s="39"/>
      <x:c r="H34" s="39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Share count and capital allocation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Weighted-average shares use a half-period convention for forecast transactions.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Beginning diluted shares</x:v>
      </x:c>
      <x:c r="B6" s="106" t="n">
        <x:f>'Model Control Panel'!$B$11</x:f>
        <x:v>86.5</x:v>
      </x:c>
      <x:c r="C6" s="106" t="n">
        <x:f>B12</x:f>
        <x:v>86.1</x:v>
      </x:c>
      <x:c r="D6" s="106" t="n">
        <x:f>C12</x:f>
        <x:v>85.54615384615383</x:v>
      </x:c>
      <x:c r="E6" s="106" t="n">
        <x:f>D12</x:f>
        <x:v>84.61467236467234</x:v>
      </x:c>
      <x:c r="F6" s="106" t="n">
        <x:f>E12</x:f>
        <x:v>83.50752950752948</x:v>
      </x:c>
      <x:c r="G6" s="39"/>
      <x:c r="H6" s="39"/>
    </x:row>
    <x:row r="7">
      <x:c r="A7" s="39" t="str">
        <x:v>Share repurchases</x:v>
      </x:c>
      <x:c r="B7" s="106" t="n">
        <x:f>'Assumptions &amp; Sources'!B$86</x:f>
        <x:v>250</x:v>
      </x:c>
      <x:c r="C7" s="106" t="n">
        <x:f>'Assumptions &amp; Sources'!C$86</x:f>
        <x:v>300</x:v>
      </x:c>
      <x:c r="D7" s="106" t="n">
        <x:f>'Assumptions &amp; Sources'!D$86</x:f>
        <x:v>400</x:v>
      </x:c>
      <x:c r="E7" s="106" t="n">
        <x:f>'Assumptions &amp; Sources'!E$86</x:f>
        <x:v>450</x:v>
      </x:c>
      <x:c r="F7" s="106" t="n">
        <x:f>'Assumptions &amp; Sources'!F$86</x:f>
        <x:v>500</x:v>
      </x:c>
      <x:c r="G7" s="39"/>
      <x:c r="H7" s="39"/>
    </x:row>
    <x:row r="8">
      <x:c r="A8" s="39" t="str">
        <x:v>Average repurchase price</x:v>
      </x:c>
      <x:c r="B8" s="142" t="n">
        <x:f>'Assumptions &amp; Sources'!B$91</x:f>
        <x:v>250</x:v>
      </x:c>
      <x:c r="C8" s="142" t="n">
        <x:f>'Assumptions &amp; Sources'!C$91</x:f>
        <x:v>260</x:v>
      </x:c>
      <x:c r="D8" s="142" t="n">
        <x:f>'Assumptions &amp; Sources'!D$91</x:f>
        <x:v>270</x:v>
      </x:c>
      <x:c r="E8" s="142" t="n">
        <x:f>'Assumptions &amp; Sources'!E$91</x:f>
        <x:v>280</x:v>
      </x:c>
      <x:c r="F8" s="142" t="n">
        <x:f>'Assumptions &amp; Sources'!F$91</x:f>
        <x:v>290</x:v>
      </x:c>
      <x:c r="G8" s="39"/>
      <x:c r="H8" s="39"/>
    </x:row>
    <x:row r="9">
      <x:c r="A9" s="39" t="str">
        <x:v>Repurchased shares</x:v>
      </x:c>
      <x:c r="B9" s="106" t="n">
        <x:f>IF(B8=0,0,B7/B8)</x:f>
        <x:v>1</x:v>
      </x:c>
      <x:c r="C9" s="106" t="n">
        <x:f>IF(C8=0,0,C7/C8)</x:f>
        <x:v>1.1538461538461537</x:v>
      </x:c>
      <x:c r="D9" s="106" t="n">
        <x:f>IF(D8=0,0,D7/D8)</x:f>
        <x:v>1.4814814814814814</x:v>
      </x:c>
      <x:c r="E9" s="106" t="n">
        <x:f>IF(E8=0,0,E7/E8)</x:f>
        <x:v>1.6071428571428572</x:v>
      </x:c>
      <x:c r="F9" s="106" t="n">
        <x:f>IF(F8=0,0,F7/F8)</x:f>
        <x:v>1.7241379310344827</x:v>
      </x:c>
      <x:c r="G9" s="39"/>
      <x:c r="H9" s="39"/>
    </x:row>
    <x:row r="10">
      <x:c r="A10" s="39" t="str">
        <x:v>SBC dilution</x:v>
      </x:c>
      <x:c r="B10" s="106" t="n">
        <x:f>'Assumptions &amp; Sources'!B$96</x:f>
        <x:v>0.6</x:v>
      </x:c>
      <x:c r="C10" s="106" t="n">
        <x:f>'Assumptions &amp; Sources'!C$96</x:f>
        <x:v>0.6</x:v>
      </x:c>
      <x:c r="D10" s="106" t="n">
        <x:f>'Assumptions &amp; Sources'!D$96</x:f>
        <x:v>0.55</x:v>
      </x:c>
      <x:c r="E10" s="106" t="n">
        <x:f>'Assumptions &amp; Sources'!E$96</x:f>
        <x:v>0.5</x:v>
      </x:c>
      <x:c r="F10" s="106" t="n">
        <x:f>'Assumptions &amp; Sources'!F$96</x:f>
        <x:v>0.5</x:v>
      </x:c>
      <x:c r="G10" s="39"/>
      <x:c r="H10" s="39"/>
    </x:row>
    <x:row r="11">
      <x:c r="A11" s="39" t="str">
        <x:v>Share issuance</x:v>
      </x:c>
      <x:c r="B11" s="106" t="n">
        <x:f>'Assumptions &amp; Sources'!B$106</x:f>
        <x:v>0</x:v>
      </x:c>
      <x:c r="C11" s="106" t="n">
        <x:f>'Assumptions &amp; Sources'!C$106</x:f>
        <x:v>0</x:v>
      </x:c>
      <x:c r="D11" s="106" t="n">
        <x:f>'Assumptions &amp; Sources'!D$106</x:f>
        <x:v>0</x:v>
      </x:c>
      <x:c r="E11" s="106" t="n">
        <x:f>'Assumptions &amp; Sources'!E$106</x:f>
        <x:v>0</x:v>
      </x:c>
      <x:c r="F11" s="106" t="n">
        <x:f>'Assumptions &amp; Sources'!F$106</x:f>
        <x:v>0</x:v>
      </x:c>
      <x:c r="G11" s="39"/>
      <x:c r="H11" s="39"/>
    </x:row>
    <x:row r="12">
      <x:c r="A12" s="80" t="str">
        <x:v>Ending diluted shares</x:v>
      </x:c>
      <x:c r="B12" s="109" t="n">
        <x:f>B6+B10+B11-B9</x:f>
        <x:v>86.1</x:v>
      </x:c>
      <x:c r="C12" s="109" t="n">
        <x:f>C6+C10+C11-C9</x:f>
        <x:v>85.54615384615383</x:v>
      </x:c>
      <x:c r="D12" s="109" t="n">
        <x:f>D6+D10+D11-D9</x:f>
        <x:v>84.61467236467234</x:v>
      </x:c>
      <x:c r="E12" s="109" t="n">
        <x:f>E6+E10+E11-E9</x:f>
        <x:v>83.50752950752948</x:v>
      </x:c>
      <x:c r="F12" s="110" t="n">
        <x:f>F6+F10+F11-F9</x:f>
        <x:v>82.283391576495</x:v>
      </x:c>
      <x:c r="G12" s="39"/>
      <x:c r="H12" s="39"/>
    </x:row>
    <x:row r="13">
      <x:c r="A13" s="39" t="str">
        <x:v>Weighted-average diluted shares</x:v>
      </x:c>
      <x:c r="B13" s="106" t="n">
        <x:f>B6+0.5*(B10+B11-B9)</x:f>
        <x:v>86.3</x:v>
      </x:c>
      <x:c r="C13" s="106" t="n">
        <x:f>C6+0.5*(C10+C11-C9)</x:f>
        <x:v>85.82307692307691</x:v>
      </x:c>
      <x:c r="D13" s="106" t="n">
        <x:f>D6+0.5*(D10+D11-D9)</x:f>
        <x:v>85.08041310541309</x:v>
      </x:c>
      <x:c r="E13" s="106" t="n">
        <x:f>E6+0.5*(E10+E11-E9)</x:f>
        <x:v>84.06110093610091</x:v>
      </x:c>
      <x:c r="F13" s="106" t="n">
        <x:f>F6+0.5*(F10+F11-F9)</x:f>
        <x:v>82.89546054201224</x:v>
      </x:c>
      <x:c r="G13" s="39"/>
      <x:c r="H13" s="39"/>
    </x:row>
    <x:row r="14">
      <x:c r="A14" s="39" t="str">
        <x:v>Dividends</x:v>
      </x:c>
      <x:c r="B14" s="106" t="n">
        <x:f>'Assumptions &amp; Sources'!B$81</x:f>
        <x:v>380</x:v>
      </x:c>
      <x:c r="C14" s="106" t="n">
        <x:f>'Assumptions &amp; Sources'!C$81</x:f>
        <x:v>405</x:v>
      </x:c>
      <x:c r="D14" s="106" t="n">
        <x:f>'Assumptions &amp; Sources'!D$81</x:f>
        <x:v>425</x:v>
      </x:c>
      <x:c r="E14" s="106" t="n">
        <x:f>'Assumptions &amp; Sources'!E$81</x:f>
        <x:v>445</x:v>
      </x:c>
      <x:c r="F14" s="106" t="n">
        <x:f>'Assumptions &amp; Sources'!F$81</x:f>
        <x:v>465</x:v>
      </x:c>
      <x:c r="G14" s="39"/>
      <x:c r="H14" s="39"/>
    </x:row>
    <x:row r="15">
      <x:c r="A15" s="39" t="str">
        <x:v>SBC expense</x:v>
      </x:c>
      <x:c r="B15" s="106" t="n">
        <x:f>'Assumptions &amp; Sources'!B$101</x:f>
        <x:v>0</x:v>
      </x:c>
      <x:c r="C15" s="106" t="n">
        <x:f>'Assumptions &amp; Sources'!C$101</x:f>
        <x:v>0</x:v>
      </x:c>
      <x:c r="D15" s="106" t="n">
        <x:f>'Assumptions &amp; Sources'!D$101</x:f>
        <x:v>0</x:v>
      </x:c>
      <x:c r="E15" s="106" t="n">
        <x:f>'Assumptions &amp; Sources'!E$101</x:f>
        <x:v>0</x:v>
      </x:c>
      <x:c r="F15" s="106" t="n">
        <x:f>'Assumptions &amp; Sources'!F$101</x:f>
        <x:v>0</x:v>
      </x:c>
      <x:c r="G15" s="39"/>
      <x:c r="H15" s="39"/>
    </x:row>
    <x:row r="16">
      <x:c r="A16" s="39" t="str">
        <x:v>Share issuance proceeds</x:v>
      </x:c>
      <x:c r="B16" s="106" t="n">
        <x:f>B11*B8</x:f>
        <x:v>0</x:v>
      </x:c>
      <x:c r="C16" s="106" t="n">
        <x:f>C11*C8</x:f>
        <x:v>0</x:v>
      </x:c>
      <x:c r="D16" s="106" t="n">
        <x:f>D11*D8</x:f>
        <x:v>0</x:v>
      </x:c>
      <x:c r="E16" s="106" t="n">
        <x:f>E11*E8</x:f>
        <x:v>0</x:v>
      </x:c>
      <x:c r="F16" s="106" t="n">
        <x:f>F11*F8</x:f>
        <x:v>0</x:v>
      </x:c>
      <x:c r="G16" s="39"/>
      <x:c r="H16" s="39"/>
    </x:row>
    <x:row r="17">
      <x:c r="A17" s="39"/>
      <x:c r="B17" s="106"/>
      <x:c r="C17" s="106"/>
      <x:c r="D17" s="106"/>
      <x:c r="E17" s="106"/>
      <x:c r="F17" s="106"/>
      <x:c r="G17" s="39"/>
      <x:c r="H17" s="39"/>
    </x:row>
    <x:row r="18">
      <x:c r="A18" s="39"/>
      <x:c r="B18" s="106"/>
      <x:c r="C18" s="106"/>
      <x:c r="D18" s="106"/>
      <x:c r="E18" s="106"/>
      <x:c r="F18" s="106"/>
      <x:c r="G18" s="39"/>
      <x:c r="H18" s="39"/>
    </x:row>
    <x:row r="19">
      <x:c r="A19" s="80" t="str">
        <x:v>Equity rollforward</x:v>
      </x:c>
      <x:c r="B19" s="115" t="str">
        <x:v>FY2026</x:v>
      </x:c>
      <x:c r="C19" s="115" t="str">
        <x:v>FY2027</x:v>
      </x:c>
      <x:c r="D19" s="115" t="str">
        <x:v>FY2028</x:v>
      </x:c>
      <x:c r="E19" s="115" t="str">
        <x:v>FY2029</x:v>
      </x:c>
      <x:c r="F19" s="116" t="str">
        <x:v>FY2030</x:v>
      </x:c>
      <x:c r="G19" s="39"/>
      <x:c r="H19" s="39"/>
    </x:row>
    <x:row r="20">
      <x:c r="A20" s="39" t="str">
        <x:v>Beginning equity</x:v>
      </x:c>
      <x:c r="B20" s="106" t="n">
        <x:f>3850</x:f>
        <x:v>3850</x:v>
      </x:c>
      <x:c r="C20" s="106" t="n">
        <x:f>B26</x:f>
        <x:v>4342.130973563249</x:v>
      </x:c>
      <x:c r="D20" s="106" t="n">
        <x:f>C26</x:f>
        <x:v>4999.878371715304</x:v>
      </x:c>
      <x:c r="E20" s="106" t="n">
        <x:f>D26</x:f>
        <x:v>5805.044579840871</x:v>
      </x:c>
      <x:c r="F20" s="106" t="n">
        <x:f>E26</x:f>
        <x:v>6726.156471736694</x:v>
      </x:c>
      <x:c r="G20" s="39"/>
      <x:c r="H20" s="39"/>
    </x:row>
    <x:row r="21">
      <x:c r="A21" s="39" t="str">
        <x:v>Net income</x:v>
      </x:c>
      <x:c r="B21" s="106" t="n">
        <x:f>'Consolidated Income Statement'!B25</x:f>
        <x:v>1122.1309735632494</x:v>
      </x:c>
      <x:c r="C21" s="106" t="n">
        <x:f>'Consolidated Income Statement'!C25</x:f>
        <x:v>1362.7473981520548</x:v>
      </x:c>
      <x:c r="D21" s="106" t="n">
        <x:f>'Consolidated Income Statement'!D25</x:f>
        <x:v>1630.1662081255672</x:v>
      </x:c>
      <x:c r="E21" s="106" t="n">
        <x:f>'Consolidated Income Statement'!E25</x:f>
        <x:v>1816.1118918958227</x:v>
      </x:c>
      <x:c r="F21" s="106" t="n">
        <x:f>'Consolidated Income Statement'!F25</x:f>
        <x:v>1994.3540302221359</x:v>
      </x:c>
      <x:c r="G21" s="39"/>
      <x:c r="H21" s="39"/>
    </x:row>
    <x:row r="22">
      <x:c r="A22" s="39" t="str">
        <x:v>Dividends</x:v>
      </x:c>
      <x:c r="B22" s="106" t="n">
        <x:f>B14</x:f>
        <x:v>380</x:v>
      </x:c>
      <x:c r="C22" s="106" t="n">
        <x:f>C14</x:f>
        <x:v>405</x:v>
      </x:c>
      <x:c r="D22" s="106" t="n">
        <x:f>D14</x:f>
        <x:v>425</x:v>
      </x:c>
      <x:c r="E22" s="106" t="n">
        <x:f>E14</x:f>
        <x:v>445</x:v>
      </x:c>
      <x:c r="F22" s="106" t="n">
        <x:f>F14</x:f>
        <x:v>465</x:v>
      </x:c>
      <x:c r="G22" s="39"/>
      <x:c r="H22" s="39"/>
    </x:row>
    <x:row r="23">
      <x:c r="A23" s="39" t="str">
        <x:v>Share repurchases</x:v>
      </x:c>
      <x:c r="B23" s="106" t="n">
        <x:f>B7</x:f>
        <x:v>250</x:v>
      </x:c>
      <x:c r="C23" s="106" t="n">
        <x:f>C7</x:f>
        <x:v>300</x:v>
      </x:c>
      <x:c r="D23" s="106" t="n">
        <x:f>D7</x:f>
        <x:v>400</x:v>
      </x:c>
      <x:c r="E23" s="106" t="n">
        <x:f>E7</x:f>
        <x:v>450</x:v>
      </x:c>
      <x:c r="F23" s="106" t="n">
        <x:f>F7</x:f>
        <x:v>500</x:v>
      </x:c>
      <x:c r="G23" s="39"/>
      <x:c r="H23" s="39"/>
    </x:row>
    <x:row r="24">
      <x:c r="A24" s="39" t="str">
        <x:v>Stock compensation equity</x:v>
      </x:c>
      <x:c r="B24" s="106" t="n">
        <x:f>B15</x:f>
        <x:v>0</x:v>
      </x:c>
      <x:c r="C24" s="106" t="n">
        <x:f>C15</x:f>
        <x:v>0</x:v>
      </x:c>
      <x:c r="D24" s="106" t="n">
        <x:f>D15</x:f>
        <x:v>0</x:v>
      </x:c>
      <x:c r="E24" s="106" t="n">
        <x:f>E15</x:f>
        <x:v>0</x:v>
      </x:c>
      <x:c r="F24" s="106" t="n">
        <x:f>F15</x:f>
        <x:v>0</x:v>
      </x:c>
      <x:c r="G24" s="39"/>
      <x:c r="H24" s="39"/>
    </x:row>
    <x:row r="25">
      <x:c r="A25" s="39" t="str">
        <x:v>Share issuance proceeds</x:v>
      </x:c>
      <x:c r="B25" s="106" t="n">
        <x:f>B16</x:f>
        <x:v>0</x:v>
      </x:c>
      <x:c r="C25" s="106" t="n">
        <x:f>C16</x:f>
        <x:v>0</x:v>
      </x:c>
      <x:c r="D25" s="106" t="n">
        <x:f>D16</x:f>
        <x:v>0</x:v>
      </x:c>
      <x:c r="E25" s="106" t="n">
        <x:f>E16</x:f>
        <x:v>0</x:v>
      </x:c>
      <x:c r="F25" s="106" t="n">
        <x:f>F16</x:f>
        <x:v>0</x:v>
      </x:c>
      <x:c r="G25" s="39"/>
      <x:c r="H25" s="39"/>
    </x:row>
    <x:row r="26">
      <x:c r="A26" s="80" t="str">
        <x:v>Ending equity</x:v>
      </x:c>
      <x:c r="B26" s="109" t="n">
        <x:f>B20+B21-B22-B23+B24+B25</x:f>
        <x:v>4342.130973563249</x:v>
      </x:c>
      <x:c r="C26" s="109" t="n">
        <x:f>C20+C21-C22-C23+C24+C25</x:f>
        <x:v>4999.878371715304</x:v>
      </x:c>
      <x:c r="D26" s="109" t="n">
        <x:f>D20+D21-D22-D23+D24+D25</x:f>
        <x:v>5805.044579840871</x:v>
      </x:c>
      <x:c r="E26" s="109" t="n">
        <x:f>E20+E21-E22-E23+E24+E25</x:f>
        <x:v>6726.156471736694</x:v>
      </x:c>
      <x:c r="F26" s="110" t="n">
        <x:f>F20+F21-F22-F23+F24+F25</x:f>
        <x:v>7755.51050195883</x:v>
      </x:c>
      <x:c r="G26" s="39"/>
      <x:c r="H26" s="39"/>
    </x:row>
    <x:row r="27">
      <x:c r="A27" s="39" t="str">
        <x:v>Rollforward check</x:v>
      </x:c>
      <x:c r="B27" s="106" t="n">
        <x:f>B26-B20-B21+B22+B23-B24-B25</x:f>
        <x:v>0</x:v>
      </x:c>
      <x:c r="C27" s="106" t="n">
        <x:f>C26-C20-C21+C22+C23-C24-C25</x:f>
        <x:v>-4.547473508864641e-13</x:v>
      </x:c>
      <x:c r="D27" s="106" t="n">
        <x:f>D26-D20-D21+D22+D23-D24-D25</x:f>
        <x:v>0</x:v>
      </x:c>
      <x:c r="E27" s="106" t="n">
        <x:f>E26-E20-E21+E22+E23-E24-E25</x:f>
        <x:v>0</x:v>
      </x:c>
      <x:c r="F27" s="106" t="n">
        <x:f>F26-F20-F21+F22+F23-F24-F25</x:f>
        <x:v>4.547473508864641e-13</x:v>
      </x:c>
      <x:c r="G27" s="39"/>
      <x:c r="H27" s="39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Consolidated balance sheet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Assets and independently rolled liabilities and equity must reconcile without a plug.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Cash</x:v>
      </x:c>
      <x:c r="B6" s="137" t="n">
        <x:f>'Consolidated Cash Flow'!B$25</x:f>
        <x:v>2654.2671267255773</x:v>
      </x:c>
      <x:c r="C6" s="137" t="n">
        <x:f>'Consolidated Cash Flow'!C$25</x:f>
        <x:v>2716.812876593948</x:v>
      </x:c>
      <x:c r="D6" s="137" t="n">
        <x:f>'Consolidated Cash Flow'!D$25</x:f>
        <x:v>2906.382681418746</x:v>
      </x:c>
      <x:c r="E6" s="137" t="n">
        <x:f>'Consolidated Cash Flow'!E$25</x:f>
        <x:v>3219.058705886602</x:v>
      </x:c>
      <x:c r="F6" s="137" t="n">
        <x:f>'Consolidated Cash Flow'!F$25</x:f>
        <x:v>3659.925704695242</x:v>
      </x:c>
      <x:c r="G6" s="39"/>
      <x:c r="H6" s="39"/>
    </x:row>
    <x:row r="7">
      <x:c r="A7" s="39" t="str">
        <x:v>Accounts receivable</x:v>
      </x:c>
      <x:c r="B7" s="137" t="n">
        <x:f>'Working Capital Schedule'!B12</x:f>
        <x:v>255.49555123287672</x:v>
      </x:c>
      <x:c r="C7" s="137" t="n">
        <x:f>'Working Capital Schedule'!C12</x:f>
        <x:v>263.165024339726</x:v>
      </x:c>
      <x:c r="D7" s="137" t="n">
        <x:f>'Working Capital Schedule'!D12</x:f>
        <x:v>271.8977724992465</x:v>
      </x:c>
      <x:c r="E7" s="137" t="n">
        <x:f>'Working Capital Schedule'!E12</x:f>
        <x:v>281.12040925259856</x:v>
      </x:c>
      <x:c r="F7" s="137" t="n">
        <x:f>'Working Capital Schedule'!F12</x:f>
        <x:v>290.28208310093635</x:v>
      </x:c>
      <x:c r="G7" s="39"/>
      <x:c r="H7" s="39"/>
    </x:row>
    <x:row r="8">
      <x:c r="A8" s="39" t="str">
        <x:v>Inventory</x:v>
      </x:c>
      <x:c r="B8" s="137" t="n">
        <x:f>'Working Capital Schedule'!B10</x:f>
        <x:v>4428.693963145891</x:v>
      </x:c>
      <x:c r="C8" s="137" t="n">
        <x:f>'Working Capital Schedule'!C10</x:f>
        <x:v>4533.456076615602</x:v>
      </x:c>
      <x:c r="D8" s="137" t="n">
        <x:f>'Working Capital Schedule'!D10</x:f>
        <x:v>4657.198378478906</x:v>
      </x:c>
      <x:c r="E8" s="137" t="n">
        <x:f>'Working Capital Schedule'!E10</x:f>
        <x:v>4798.889891085026</x:v>
      </x:c>
      <x:c r="F8" s="137" t="n">
        <x:f>'Working Capital Schedule'!F10</x:f>
        <x:v>4938.818977552452</x:v>
      </x:c>
      <x:c r="G8" s="39"/>
      <x:c r="H8" s="39"/>
    </x:row>
    <x:row r="9">
      <x:c r="A9" s="39" t="str">
        <x:v>Prepaid and other current assets</x:v>
      </x:c>
      <x:c r="B9" s="137" t="n">
        <x:f>'Working Capital Schedule'!B16</x:f>
        <x:v>0</x:v>
      </x:c>
      <x:c r="C9" s="137" t="n">
        <x:f>'Working Capital Schedule'!C16</x:f>
        <x:v>0</x:v>
      </x:c>
      <x:c r="D9" s="137" t="n">
        <x:f>'Working Capital Schedule'!D16</x:f>
        <x:v>0</x:v>
      </x:c>
      <x:c r="E9" s="137" t="n">
        <x:f>'Working Capital Schedule'!E16</x:f>
        <x:v>0</x:v>
      </x:c>
      <x:c r="F9" s="137" t="n">
        <x:f>'Working Capital Schedule'!F16</x:f>
        <x:v>0</x:v>
      </x:c>
      <x:c r="G9" s="39"/>
      <x:c r="H9" s="39"/>
    </x:row>
    <x:row r="10">
      <x:c r="A10" s="39" t="str">
        <x:v>PP&amp;E</x:v>
      </x:c>
      <x:c r="B10" s="137" t="n">
        <x:f>'Capex &amp; Depreciation'!B$13</x:f>
        <x:v>5626.3955667</x:v>
      </x:c>
      <x:c r="C10" s="137" t="n">
        <x:f>'Capex &amp; Depreciation'!C$13</x:f>
        <x:v>5914.561268352</x:v>
      </x:c>
      <x:c r="D10" s="137" t="n">
        <x:f>'Capex &amp; Depreciation'!D$13</x:f>
        <x:v>6162.667985757563</x:v>
      </x:c>
      <x:c r="E10" s="137" t="n">
        <x:f>'Capex &amp; Depreciation'!E$13</x:f>
        <x:v>6393.53812185626</x:v>
      </x:c>
      <x:c r="F10" s="137" t="n">
        <x:f>'Capex &amp; Depreciation'!F$13</x:f>
        <x:v>6605.444042519944</x:v>
      </x:c>
      <x:c r="G10" s="39"/>
      <x:c r="H10" s="39"/>
    </x:row>
    <x:row r="11">
      <x:c r="A11" s="39" t="str">
        <x:v>Operating lease assets</x:v>
      </x:c>
      <x:c r="B11" s="137" t="n">
        <x:f>'Debt Interest Lease'!B$24</x:f>
        <x:v>4515</x:v>
      </x:c>
      <x:c r="C11" s="137" t="n">
        <x:f>'Debt Interest Lease'!C$24</x:f>
        <x:v>4740.75</x:v>
      </x:c>
      <x:c r="D11" s="137" t="n">
        <x:f>'Debt Interest Lease'!D$24</x:f>
        <x:v>4977.7875</x:v>
      </x:c>
      <x:c r="E11" s="137" t="n">
        <x:f>'Debt Interest Lease'!E$24</x:f>
        <x:v>5226.676875</x:v>
      </x:c>
      <x:c r="F11" s="137" t="n">
        <x:f>'Debt Interest Lease'!F$24</x:f>
        <x:v>5488.01071875</x:v>
      </x:c>
      <x:c r="G11" s="39"/>
      <x:c r="H11" s="39"/>
    </x:row>
    <x:row r="12">
      <x:c r="A12" s="39" t="str">
        <x:v>Goodwill and intangibles</x:v>
      </x:c>
      <x:c r="B12" s="137" t="n">
        <x:v>3600</x:v>
      </x:c>
      <x:c r="C12" s="137" t="n">
        <x:v>3600</x:v>
      </x:c>
      <x:c r="D12" s="137" t="n">
        <x:v>3600</x:v>
      </x:c>
      <x:c r="E12" s="137" t="n">
        <x:v>3600</x:v>
      </x:c>
      <x:c r="F12" s="137" t="n">
        <x:v>3600</x:v>
      </x:c>
      <x:c r="G12" s="39"/>
      <x:c r="H12" s="39"/>
    </x:row>
    <x:row r="13">
      <x:c r="A13" s="39" t="str">
        <x:v>Other assets</x:v>
      </x:c>
      <x:c r="B13" s="137" t="n">
        <x:v>0</x:v>
      </x:c>
      <x:c r="C13" s="137" t="n">
        <x:v>0</x:v>
      </x:c>
      <x:c r="D13" s="137" t="n">
        <x:v>0</x:v>
      </x:c>
      <x:c r="E13" s="137" t="n">
        <x:v>0</x:v>
      </x:c>
      <x:c r="F13" s="137" t="n">
        <x:v>0</x:v>
      </x:c>
      <x:c r="G13" s="39"/>
      <x:c r="H13" s="39"/>
    </x:row>
    <x:row r="14">
      <x:c r="A14" s="80" t="str">
        <x:v>Total assets</x:v>
      </x:c>
      <x:c r="B14" s="138" t="n">
        <x:f>SUM(B6:B13)</x:f>
        <x:v>21079.852207804346</x:v>
      </x:c>
      <x:c r="C14" s="138" t="n">
        <x:f>SUM(C6:C13)</x:f>
        <x:v>21768.74524590128</x:v>
      </x:c>
      <x:c r="D14" s="138" t="n">
        <x:f>SUM(D6:D13)</x:f>
        <x:v>22575.93431815446</x:v>
      </x:c>
      <x:c r="E14" s="138" t="n">
        <x:f>SUM(E6:E13)</x:f>
        <x:v>23519.284003080487</x:v>
      </x:c>
      <x:c r="F14" s="139" t="n">
        <x:f>SUM(F6:F13)</x:f>
        <x:v>24582.481526618572</x:v>
      </x:c>
      <x:c r="G14" s="39"/>
      <x:c r="H14" s="39"/>
    </x:row>
    <x:row r="15">
      <x:c r="A15" s="39"/>
      <x:c r="B15" s="137"/>
      <x:c r="C15" s="137"/>
      <x:c r="D15" s="137"/>
      <x:c r="E15" s="137"/>
      <x:c r="F15" s="137"/>
      <x:c r="G15" s="39"/>
      <x:c r="H15" s="39"/>
    </x:row>
    <x:row r="16">
      <x:c r="A16" s="80" t="str">
        <x:v>Liabilities and equity</x:v>
      </x:c>
      <x:c r="B16" s="146"/>
      <x:c r="C16" s="146"/>
      <x:c r="D16" s="146"/>
      <x:c r="E16" s="146"/>
      <x:c r="F16" s="147"/>
      <x:c r="G16" s="39"/>
      <x:c r="H16" s="39"/>
    </x:row>
    <x:row r="17">
      <x:c r="A17" s="39" t="str">
        <x:v>Accounts payable</x:v>
      </x:c>
      <x:c r="B17" s="137" t="n">
        <x:f>'Working Capital Schedule'!B14</x:f>
        <x:v>1898.011698491096</x:v>
      </x:c>
      <x:c r="C17" s="137" t="n">
        <x:f>'Working Capital Schedule'!C14</x:f>
        <x:v>1942.909747120972</x:v>
      </x:c>
      <x:c r="D17" s="137" t="n">
        <x:f>'Working Capital Schedule'!D14</x:f>
        <x:v>1995.9421622052457</x:v>
      </x:c>
      <x:c r="E17" s="137" t="n">
        <x:f>'Working Capital Schedule'!E14</x:f>
        <x:v>2056.667096179297</x:v>
      </x:c>
      <x:c r="F17" s="137" t="n">
        <x:f>'Working Capital Schedule'!F14</x:f>
        <x:v>2116.6367046653368</x:v>
      </x:c>
      <x:c r="G17" s="39"/>
      <x:c r="H17" s="39"/>
    </x:row>
    <x:row r="18">
      <x:c r="A18" s="39" t="str">
        <x:v>Accrued and other current liabilities</x:v>
      </x:c>
      <x:c r="B18" s="137" t="n">
        <x:f>'Working Capital Schedule'!B17</x:f>
        <x:v>349.70953575</x:v>
      </x:c>
      <x:c r="C18" s="137" t="n">
        <x:f>'Working Capital Schedule'!C17</x:f>
        <x:v>360.20712706499995</x:v>
      </x:c>
      <x:c r="D18" s="137" t="n">
        <x:f>'Working Capital Schedule'!D17</x:f>
        <x:v>372.1600761083437</x:v>
      </x:c>
      <x:c r="E18" s="137" t="n">
        <x:f>'Working Capital Schedule'!E17</x:f>
        <x:v>384.78356016449425</x:v>
      </x:c>
      <x:c r="F18" s="137" t="n">
        <x:f>'Working Capital Schedule'!F17</x:f>
        <x:v>397.32360124440663</x:v>
      </x:c>
      <x:c r="G18" s="39"/>
      <x:c r="H18" s="39"/>
    </x:row>
    <x:row r="19">
      <x:c r="A19" s="39" t="str">
        <x:v>Debt</x:v>
      </x:c>
      <x:c r="B19" s="137" t="n">
        <x:f>'Debt Interest Lease'!B$14</x:f>
        <x:v>2225</x:v>
      </x:c>
      <x:c r="C19" s="137" t="n">
        <x:f>'Debt Interest Lease'!C$14</x:f>
        <x:v>1975</x:v>
      </x:c>
      <x:c r="D19" s="137" t="n">
        <x:f>'Debt Interest Lease'!D$14</x:f>
        <x:v>1675</x:v>
      </x:c>
      <x:c r="E19" s="137" t="n">
        <x:f>'Debt Interest Lease'!E$14</x:f>
        <x:v>1375</x:v>
      </x:c>
      <x:c r="F19" s="137" t="n">
        <x:f>'Debt Interest Lease'!F$14</x:f>
        <x:v>1075</x:v>
      </x:c>
      <x:c r="G19" s="39"/>
      <x:c r="H19" s="39"/>
    </x:row>
    <x:row r="20">
      <x:c r="A20" s="39" t="str">
        <x:v>Operating lease liabilities</x:v>
      </x:c>
      <x:c r="B20" s="137" t="n">
        <x:f>'Debt Interest Lease'!B$30</x:f>
        <x:v>4515</x:v>
      </x:c>
      <x:c r="C20" s="137" t="n">
        <x:f>'Debt Interest Lease'!C$30</x:f>
        <x:v>4740.75</x:v>
      </x:c>
      <x:c r="D20" s="137" t="n">
        <x:f>'Debt Interest Lease'!D$30</x:f>
        <x:v>4977.7875</x:v>
      </x:c>
      <x:c r="E20" s="137" t="n">
        <x:f>'Debt Interest Lease'!E$30</x:f>
        <x:v>5226.676875</x:v>
      </x:c>
      <x:c r="F20" s="137" t="n">
        <x:f>'Debt Interest Lease'!F$30</x:f>
        <x:v>5488.01071875</x:v>
      </x:c>
      <x:c r="G20" s="39"/>
      <x:c r="H20" s="39"/>
    </x:row>
    <x:row r="21">
      <x:c r="A21" s="39" t="str">
        <x:v>Finance lease liabilities</x:v>
      </x:c>
      <x:c r="B21" s="137" t="n">
        <x:v>0</x:v>
      </x:c>
      <x:c r="C21" s="137" t="n">
        <x:v>0</x:v>
      </x:c>
      <x:c r="D21" s="137" t="n">
        <x:v>0</x:v>
      </x:c>
      <x:c r="E21" s="137" t="n">
        <x:v>0</x:v>
      </x:c>
      <x:c r="F21" s="137" t="n">
        <x:v>0</x:v>
      </x:c>
      <x:c r="G21" s="39"/>
      <x:c r="H21" s="39"/>
    </x:row>
    <x:row r="22">
      <x:c r="A22" s="39" t="str">
        <x:v>Other liabilities incl. deferred tax</x:v>
      </x:c>
      <x:c r="B22" s="137" t="n">
        <x:f>7750+'Consolidated Cash Flow'!B$10</x:f>
        <x:v>7750</x:v>
      </x:c>
      <x:c r="C22" s="137" t="n">
        <x:f>B22+'Consolidated Cash Flow'!C$10</x:f>
        <x:v>7750</x:v>
      </x:c>
      <x:c r="D22" s="137" t="n">
        <x:f>C22+'Consolidated Cash Flow'!D$10</x:f>
        <x:v>7750</x:v>
      </x:c>
      <x:c r="E22" s="137" t="n">
        <x:f>D22+'Consolidated Cash Flow'!E$10</x:f>
        <x:v>7750</x:v>
      </x:c>
      <x:c r="F22" s="137" t="n">
        <x:f>E22+'Consolidated Cash Flow'!F$10</x:f>
        <x:v>7750</x:v>
      </x:c>
      <x:c r="G22" s="39"/>
      <x:c r="H22" s="39"/>
    </x:row>
    <x:row r="23">
      <x:c r="A23" s="39" t="str">
        <x:v>Shareholders' equity</x:v>
      </x:c>
      <x:c r="B23" s="137" t="n">
        <x:f>'Share Count Capital Alloc'!B$26</x:f>
        <x:v>4342.130973563249</x:v>
      </x:c>
      <x:c r="C23" s="137" t="n">
        <x:f>'Share Count Capital Alloc'!C$26</x:f>
        <x:v>4999.878371715304</x:v>
      </x:c>
      <x:c r="D23" s="137" t="n">
        <x:f>'Share Count Capital Alloc'!D$26</x:f>
        <x:v>5805.044579840871</x:v>
      </x:c>
      <x:c r="E23" s="137" t="n">
        <x:f>'Share Count Capital Alloc'!E$26</x:f>
        <x:v>6726.156471736694</x:v>
      </x:c>
      <x:c r="F23" s="137" t="n">
        <x:f>'Share Count Capital Alloc'!F$26</x:f>
        <x:v>7755.51050195883</x:v>
      </x:c>
      <x:c r="G23" s="39"/>
      <x:c r="H23" s="39"/>
    </x:row>
    <x:row r="24">
      <x:c r="A24" s="80" t="str">
        <x:v>Total liabilities and equity</x:v>
      </x:c>
      <x:c r="B24" s="138" t="n">
        <x:f>SUM(B17:B23)</x:f>
        <x:v>21079.852207804346</x:v>
      </x:c>
      <x:c r="C24" s="138" t="n">
        <x:f>SUM(C17:C23)</x:f>
        <x:v>21768.74524590128</x:v>
      </x:c>
      <x:c r="D24" s="138" t="n">
        <x:f>SUM(D17:D23)</x:f>
        <x:v>22575.93431815446</x:v>
      </x:c>
      <x:c r="E24" s="138" t="n">
        <x:f>SUM(E17:E23)</x:f>
        <x:v>23519.284003080484</x:v>
      </x:c>
      <x:c r="F24" s="139" t="n">
        <x:f>SUM(F17:F23)</x:f>
        <x:v>24582.481526618572</x:v>
      </x:c>
      <x:c r="G24" s="39"/>
      <x:c r="H24" s="39"/>
    </x:row>
    <x:row r="25">
      <x:c r="A25" s="39" t="str">
        <x:v>Balance check</x:v>
      </x:c>
      <x:c r="B25" s="137" t="n">
        <x:f>B14-B24</x:f>
        <x:v>0</x:v>
      </x:c>
      <x:c r="C25" s="137" t="n">
        <x:f>C14-C24</x:f>
        <x:v>0</x:v>
      </x:c>
      <x:c r="D25" s="137" t="n">
        <x:f>D14-D24</x:f>
        <x:v>0</x:v>
      </x:c>
      <x:c r="E25" s="137" t="n">
        <x:f>E14-E24</x:f>
        <x:v>3.637978807091713e-12</x:v>
      </x:c>
      <x:c r="F25" s="137" t="n">
        <x:f>F14-F24</x:f>
        <x:v>0</x:v>
      </x:c>
      <x:c r="G25" s="39"/>
      <x:c r="H25" s="39"/>
    </x:row>
  </x:sheetData>
  <x:conditionalFormatting sqref="B25:F25">
    <x:cfRule type="expression" dxfId="0" priority="1">
      <x:formula>ABS(B25)&gt;0.05</x:formula>
    </x:cfRule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Consolidated cash flow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CFO, CFI and CFF independently roll to balance-sheet cash.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Beginning cash</x:v>
      </x:c>
      <x:c r="B6" s="137" t="n">
        <x:f>'Model Control Panel'!$B$12</x:f>
        <x:v>1225</x:v>
      </x:c>
      <x:c r="C6" s="137" t="n">
        <x:f>B25</x:f>
        <x:v>2654.2671267255773</x:v>
      </x:c>
      <x:c r="D6" s="137" t="n">
        <x:f>C25</x:f>
        <x:v>2716.812876593948</x:v>
      </x:c>
      <x:c r="E6" s="137" t="n">
        <x:f>D25</x:f>
        <x:v>2906.382681418746</x:v>
      </x:c>
      <x:c r="F6" s="137" t="n">
        <x:f>E25</x:f>
        <x:v>3219.058705886602</x:v>
      </x:c>
      <x:c r="G6" s="39"/>
      <x:c r="H6" s="39"/>
    </x:row>
    <x:row r="7">
      <x:c r="A7" s="39" t="str">
        <x:v>Net income</x:v>
      </x:c>
      <x:c r="B7" s="137" t="n">
        <x:f>'Consolidated Income Statement'!B25</x:f>
        <x:v>1122.1309735632494</x:v>
      </x:c>
      <x:c r="C7" s="137" t="n">
        <x:f>'Consolidated Income Statement'!C25</x:f>
        <x:v>1362.7473981520548</x:v>
      </x:c>
      <x:c r="D7" s="137" t="n">
        <x:f>'Consolidated Income Statement'!D25</x:f>
        <x:v>1630.1662081255672</x:v>
      </x:c>
      <x:c r="E7" s="137" t="n">
        <x:f>'Consolidated Income Statement'!E25</x:f>
        <x:v>1816.1118918958227</x:v>
      </x:c>
      <x:c r="F7" s="137" t="n">
        <x:f>'Consolidated Income Statement'!F25</x:f>
        <x:v>1994.3540302221359</x:v>
      </x:c>
      <x:c r="G7" s="39"/>
      <x:c r="H7" s="39"/>
    </x:row>
    <x:row r="8">
      <x:c r="A8" s="39" t="str">
        <x:v>Depreciation</x:v>
      </x:c>
      <x:c r="B8" s="137" t="n">
        <x:f>'Capex &amp; Depreciation'!B$12</x:f>
        <x:v>955.8727310500001</x:v>
      </x:c>
      <x:c r="C8" s="137" t="n">
        <x:f>'Capex &amp; Depreciation'!C$12</x:f>
        <x:v>960.5523388399998</x:v>
      </x:c>
      <x:c r="D8" s="137" t="n">
        <x:f>'Capex &amp; Depreciation'!D$12</x:f>
        <x:v>967.6161978816936</x:v>
      </x:c>
      <x:c r="E8" s="137" t="n">
        <x:f>'Capex &amp; Depreciation'!E$12</x:f>
        <x:v>974.7850190833855</x:v>
      </x:c>
      <x:c r="F8" s="137" t="n">
        <x:f>'Capex &amp; Depreciation'!F$12</x:f>
        <x:v>1006.5531231524967</x:v>
      </x:c>
      <x:c r="G8" s="39"/>
      <x:c r="H8" s="39"/>
    </x:row>
    <x:row r="9">
      <x:c r="A9" s="39" t="str">
        <x:v>Stock compensation</x:v>
      </x:c>
      <x:c r="B9" s="137" t="n">
        <x:f>'Share Count Capital Alloc'!B$15</x:f>
        <x:v>0</x:v>
      </x:c>
      <x:c r="C9" s="137" t="n">
        <x:f>'Share Count Capital Alloc'!C$15</x:f>
        <x:v>0</x:v>
      </x:c>
      <x:c r="D9" s="137" t="n">
        <x:f>'Share Count Capital Alloc'!D$15</x:f>
        <x:v>0</x:v>
      </x:c>
      <x:c r="E9" s="137" t="n">
        <x:f>'Share Count Capital Alloc'!E$15</x:f>
        <x:v>0</x:v>
      </x:c>
      <x:c r="F9" s="137" t="n">
        <x:f>'Share Count Capital Alloc'!F$15</x:f>
        <x:v>0</x:v>
      </x:c>
      <x:c r="G9" s="39"/>
      <x:c r="H9" s="39"/>
    </x:row>
    <x:row r="10">
      <x:c r="A10" s="39" t="str">
        <x:v>Deferred tax change</x:v>
      </x:c>
      <x:c r="B10" s="137" t="n">
        <x:f>'Consolidated Income Statement'!B23-'Consolidated Income Statement'!B24</x:f>
        <x:v>0</x:v>
      </x:c>
      <x:c r="C10" s="137" t="n">
        <x:f>'Consolidated Income Statement'!C23-'Consolidated Income Statement'!C24</x:f>
        <x:v>0</x:v>
      </x:c>
      <x:c r="D10" s="137" t="n">
        <x:f>'Consolidated Income Statement'!D23-'Consolidated Income Statement'!D24</x:f>
        <x:v>0</x:v>
      </x:c>
      <x:c r="E10" s="137" t="n">
        <x:f>'Consolidated Income Statement'!E23-'Consolidated Income Statement'!E24</x:f>
        <x:v>0</x:v>
      </x:c>
      <x:c r="F10" s="137" t="n">
        <x:f>'Consolidated Income Statement'!F23-'Consolidated Income Statement'!F24</x:f>
        <x:v>0</x:v>
      </x:c>
      <x:c r="G10" s="39"/>
      <x:c r="H10" s="39"/>
    </x:row>
    <x:row r="11">
      <x:c r="A11" s="39" t="str">
        <x:v>Lease CFO adjustment</x:v>
      </x:c>
      <x:c r="B11" s="137" t="n">
        <x:f>'Debt Interest Lease'!B$32</x:f>
        <x:v>0</x:v>
      </x:c>
      <x:c r="C11" s="137" t="n">
        <x:f>'Debt Interest Lease'!C$32</x:f>
        <x:v>0</x:v>
      </x:c>
      <x:c r="D11" s="137" t="n">
        <x:f>'Debt Interest Lease'!D$32</x:f>
        <x:v>0</x:v>
      </x:c>
      <x:c r="E11" s="137" t="n">
        <x:f>'Debt Interest Lease'!E$32</x:f>
        <x:v>0</x:v>
      </x:c>
      <x:c r="F11" s="137" t="n">
        <x:f>'Debt Interest Lease'!F$32</x:f>
        <x:v>0</x:v>
      </x:c>
      <x:c r="G11" s="39"/>
      <x:c r="H11" s="39"/>
    </x:row>
    <x:row r="12">
      <x:c r="A12" s="39" t="str">
        <x:v>Change in NWC</x:v>
      </x:c>
      <x:c r="B12" s="137" t="n">
        <x:f>'Working Capital Schedule'!B19</x:f>
        <x:v>-1438.531719862328</x:v>
      </x:c>
      <x:c r="C12" s="137" t="n">
        <x:f>'Working Capital Schedule'!C19</x:f>
        <x:v>57.035946631684055</x:v>
      </x:c>
      <x:c r="D12" s="137" t="n">
        <x:f>'Working Capital Schedule'!D19</x:f>
        <x:v>67.489685895207</x:v>
      </x:c>
      <x:c r="E12" s="137" t="n">
        <x:f>'Working Capital Schedule'!E19</x:f>
        <x:v>77.56573132926997</x:v>
      </x:c>
      <x:c r="F12" s="137" t="n">
        <x:f>'Working Capital Schedule'!F19</x:f>
        <x:v>76.58111074981252</x:v>
      </x:c>
      <x:c r="G12" s="39"/>
      <x:c r="H12" s="39"/>
    </x:row>
    <x:row r="13">
      <x:c r="A13" s="80" t="str">
        <x:v>CFO</x:v>
      </x:c>
      <x:c r="B13" s="138" t="n">
        <x:f>B7+B8+B9+B10+B11-B12</x:f>
        <x:v>3516.535424475577</x:v>
      </x:c>
      <x:c r="C13" s="138" t="n">
        <x:f>C7+C8+C9+C10+C11-C12</x:f>
        <x:v>2266.2637903603704</x:v>
      </x:c>
      <x:c r="D13" s="138" t="n">
        <x:f>D7+D8+D9+D10+D11-D12</x:f>
        <x:v>2530.2927201120538</x:v>
      </x:c>
      <x:c r="E13" s="138" t="n">
        <x:f>E7+E8+E9+E10+E11-E12</x:f>
        <x:v>2713.3311796499383</x:v>
      </x:c>
      <x:c r="F13" s="139" t="n">
        <x:f>F7+F8+F9+F10+F11-F12</x:f>
        <x:v>2924.3260426248203</x:v>
      </x:c>
      <x:c r="G13" s="39"/>
      <x:c r="H13" s="39"/>
    </x:row>
    <x:row r="14">
      <x:c r="A14" s="39" t="str">
        <x:v>Capital expenditures</x:v>
      </x:c>
      <x:c r="B14" s="137" t="n">
        <x:f>-'Capex &amp; Depreciation'!B$9</x:f>
        <x:v>-1282.26829775</x:v>
      </x:c>
      <x:c r="C14" s="137" t="n">
        <x:f>-'Capex &amp; Depreciation'!C$9</x:f>
        <x:v>-1248.7180404919998</x:v>
      </x:c>
      <x:c r="D14" s="137" t="n">
        <x:f>-'Capex &amp; Depreciation'!D$9</x:f>
        <x:v>-1215.722915287256</x:v>
      </x:c>
      <x:c r="E14" s="137" t="n">
        <x:f>-'Capex &amp; Depreciation'!E$9</x:f>
        <x:v>-1205.6551551820821</x:v>
      </x:c>
      <x:c r="F14" s="137" t="n">
        <x:f>-'Capex &amp; Depreciation'!F$9</x:f>
        <x:v>-1218.4590438161804</x:v>
      </x:c>
      <x:c r="G14" s="39"/>
      <x:c r="H14" s="39"/>
    </x:row>
    <x:row r="15">
      <x:c r="A15" s="80" t="str">
        <x:v>CFI</x:v>
      </x:c>
      <x:c r="B15" s="138" t="n">
        <x:f>B14</x:f>
        <x:v>-1282.26829775</x:v>
      </x:c>
      <x:c r="C15" s="138" t="n">
        <x:f>C14</x:f>
        <x:v>-1248.7180404919998</x:v>
      </x:c>
      <x:c r="D15" s="138" t="n">
        <x:f>D14</x:f>
        <x:v>-1215.722915287256</x:v>
      </x:c>
      <x:c r="E15" s="138" t="n">
        <x:f>E14</x:f>
        <x:v>-1205.6551551820821</x:v>
      </x:c>
      <x:c r="F15" s="139" t="n">
        <x:f>F14</x:f>
        <x:v>-1218.4590438161804</x:v>
      </x:c>
      <x:c r="G15" s="39"/>
      <x:c r="H15" s="39"/>
    </x:row>
    <x:row r="16">
      <x:c r="A16" s="39" t="str">
        <x:v>Debt repayment</x:v>
      </x:c>
      <x:c r="B16" s="137" t="n">
        <x:f>-'Debt Interest Lease'!B$7</x:f>
        <x:v>-175</x:v>
      </x:c>
      <x:c r="C16" s="137" t="n">
        <x:f>-'Debt Interest Lease'!C$7</x:f>
        <x:v>-250</x:v>
      </x:c>
      <x:c r="D16" s="137" t="n">
        <x:f>-'Debt Interest Lease'!D$7</x:f>
        <x:v>-300</x:v>
      </x:c>
      <x:c r="E16" s="137" t="n">
        <x:f>-'Debt Interest Lease'!E$7</x:f>
        <x:v>-300</x:v>
      </x:c>
      <x:c r="F16" s="137" t="n">
        <x:f>-'Debt Interest Lease'!F$7</x:f>
        <x:v>-300</x:v>
      </x:c>
      <x:c r="G16" s="39"/>
      <x:c r="H16" s="39"/>
    </x:row>
    <x:row r="17">
      <x:c r="A17" s="39" t="str">
        <x:v>Dividends</x:v>
      </x:c>
      <x:c r="B17" s="137" t="n">
        <x:f>-'Share Count Capital Alloc'!B$14</x:f>
        <x:v>-380</x:v>
      </x:c>
      <x:c r="C17" s="137" t="n">
        <x:f>-'Share Count Capital Alloc'!C$14</x:f>
        <x:v>-405</x:v>
      </x:c>
      <x:c r="D17" s="137" t="n">
        <x:f>-'Share Count Capital Alloc'!D$14</x:f>
        <x:v>-425</x:v>
      </x:c>
      <x:c r="E17" s="137" t="n">
        <x:f>-'Share Count Capital Alloc'!E$14</x:f>
        <x:v>-445</x:v>
      </x:c>
      <x:c r="F17" s="137" t="n">
        <x:f>-'Share Count Capital Alloc'!F$14</x:f>
        <x:v>-465</x:v>
      </x:c>
      <x:c r="G17" s="39"/>
      <x:c r="H17" s="39"/>
    </x:row>
    <x:row r="18">
      <x:c r="A18" s="39" t="str">
        <x:v>Share repurchases</x:v>
      </x:c>
      <x:c r="B18" s="137" t="n">
        <x:f>-'Share Count Capital Alloc'!B$7</x:f>
        <x:v>-250</x:v>
      </x:c>
      <x:c r="C18" s="137" t="n">
        <x:f>-'Share Count Capital Alloc'!C$7</x:f>
        <x:v>-300</x:v>
      </x:c>
      <x:c r="D18" s="137" t="n">
        <x:f>-'Share Count Capital Alloc'!D$7</x:f>
        <x:v>-400</x:v>
      </x:c>
      <x:c r="E18" s="137" t="n">
        <x:f>-'Share Count Capital Alloc'!E$7</x:f>
        <x:v>-450</x:v>
      </x:c>
      <x:c r="F18" s="137" t="n">
        <x:f>-'Share Count Capital Alloc'!F$7</x:f>
        <x:v>-500</x:v>
      </x:c>
      <x:c r="G18" s="39"/>
      <x:c r="H18" s="39"/>
    </x:row>
    <x:row r="19">
      <x:c r="A19" s="39" t="str">
        <x:v>Share issuance proceeds</x:v>
      </x:c>
      <x:c r="B19" s="137" t="n">
        <x:f>'Share Count Capital Alloc'!B$16</x:f>
        <x:v>0</x:v>
      </x:c>
      <x:c r="C19" s="137" t="n">
        <x:f>'Share Count Capital Alloc'!C$16</x:f>
        <x:v>0</x:v>
      </x:c>
      <x:c r="D19" s="137" t="n">
        <x:f>'Share Count Capital Alloc'!D$16</x:f>
        <x:v>0</x:v>
      </x:c>
      <x:c r="E19" s="137" t="n">
        <x:f>'Share Count Capital Alloc'!E$16</x:f>
        <x:v>0</x:v>
      </x:c>
      <x:c r="F19" s="137" t="n">
        <x:f>'Share Count Capital Alloc'!F$16</x:f>
        <x:v>0</x:v>
      </x:c>
      <x:c r="G19" s="39"/>
      <x:c r="H19" s="39"/>
    </x:row>
    <x:row r="20">
      <x:c r="A20" s="39" t="str">
        <x:v>CFF before new borrowing</x:v>
      </x:c>
      <x:c r="B20" s="137" t="n">
        <x:f>SUM(B16:B19)</x:f>
        <x:v>-805</x:v>
      </x:c>
      <x:c r="C20" s="137" t="n">
        <x:f>SUM(C16:C19)</x:f>
        <x:v>-955</x:v>
      </x:c>
      <x:c r="D20" s="137" t="n">
        <x:f>SUM(D16:D19)</x:f>
        <x:v>-1125</x:v>
      </x:c>
      <x:c r="E20" s="137" t="n">
        <x:f>SUM(E16:E19)</x:f>
        <x:v>-1195</x:v>
      </x:c>
      <x:c r="F20" s="137" t="n">
        <x:f>SUM(F16:F19)</x:f>
        <x:v>-1265</x:v>
      </x:c>
      <x:c r="G20" s="39"/>
      <x:c r="H20" s="39"/>
    </x:row>
    <x:row r="21">
      <x:c r="A21" s="39" t="str">
        <x:v>Pre-financing ending cash</x:v>
      </x:c>
      <x:c r="B21" s="137" t="n">
        <x:f>B6+B13+B15+B20</x:f>
        <x:v>2654.2671267255773</x:v>
      </x:c>
      <x:c r="C21" s="137" t="n">
        <x:f>C6+C13+C15+C20</x:f>
        <x:v>2716.8128765939473</x:v>
      </x:c>
      <x:c r="D21" s="137" t="n">
        <x:f>D6+D13+D15+D20</x:f>
        <x:v>2906.382681418746</x:v>
      </x:c>
      <x:c r="E21" s="137" t="n">
        <x:f>E6+E13+E15+E20</x:f>
        <x:v>3219.058705886602</x:v>
      </x:c>
      <x:c r="F21" s="137" t="n">
        <x:f>F6+F13+F15+F20</x:f>
        <x:v>3659.9257046952416</x:v>
      </x:c>
      <x:c r="G21" s="39"/>
      <x:c r="H21" s="39"/>
    </x:row>
    <x:row r="22">
      <x:c r="A22" s="39" t="str">
        <x:v>Debt issuance</x:v>
      </x:c>
      <x:c r="B22" s="137" t="n">
        <x:f>'Debt Interest Lease'!B$13</x:f>
        <x:v>0</x:v>
      </x:c>
      <x:c r="C22" s="137" t="n">
        <x:f>'Debt Interest Lease'!C$13</x:f>
        <x:v>0</x:v>
      </x:c>
      <x:c r="D22" s="137" t="n">
        <x:f>'Debt Interest Lease'!D$13</x:f>
        <x:v>0</x:v>
      </x:c>
      <x:c r="E22" s="137" t="n">
        <x:f>'Debt Interest Lease'!E$13</x:f>
        <x:v>0</x:v>
      </x:c>
      <x:c r="F22" s="137" t="n">
        <x:f>'Debt Interest Lease'!F$13</x:f>
        <x:v>0</x:v>
      </x:c>
      <x:c r="G22" s="39"/>
      <x:c r="H22" s="39"/>
    </x:row>
    <x:row r="23">
      <x:c r="A23" s="80" t="str">
        <x:v>CFF</x:v>
      </x:c>
      <x:c r="B23" s="138" t="n">
        <x:f>B20+B22</x:f>
        <x:v>-805</x:v>
      </x:c>
      <x:c r="C23" s="138" t="n">
        <x:f>C20+C22</x:f>
        <x:v>-955</x:v>
      </x:c>
      <x:c r="D23" s="138" t="n">
        <x:f>D20+D22</x:f>
        <x:v>-1125</x:v>
      </x:c>
      <x:c r="E23" s="138" t="n">
        <x:f>E20+E22</x:f>
        <x:v>-1195</x:v>
      </x:c>
      <x:c r="F23" s="139" t="n">
        <x:f>F20+F22</x:f>
        <x:v>-1265</x:v>
      </x:c>
      <x:c r="G23" s="39"/>
      <x:c r="H23" s="39"/>
    </x:row>
    <x:row r="24">
      <x:c r="A24" s="39" t="str">
        <x:v>Change in cash</x:v>
      </x:c>
      <x:c r="B24" s="137" t="n">
        <x:f>B13+B15+B23</x:f>
        <x:v>1429.2671267255773</x:v>
      </x:c>
      <x:c r="C24" s="137" t="n">
        <x:f>C13+C15+C23</x:f>
        <x:v>62.54574986837065</x:v>
      </x:c>
      <x:c r="D24" s="137" t="n">
        <x:f>D13+D15+D23</x:f>
        <x:v>189.56980482479776</x:v>
      </x:c>
      <x:c r="E24" s="137" t="n">
        <x:f>E13+E15+E23</x:f>
        <x:v>312.6760244678562</x:v>
      </x:c>
      <x:c r="F24" s="137" t="n">
        <x:f>F13+F15+F23</x:f>
        <x:v>440.8669988086399</x:v>
      </x:c>
      <x:c r="G24" s="39"/>
      <x:c r="H24" s="39"/>
    </x:row>
    <x:row r="25">
      <x:c r="A25" s="80" t="str">
        <x:v>Ending cash</x:v>
      </x:c>
      <x:c r="B25" s="138" t="n">
        <x:f>B6+B24</x:f>
        <x:v>2654.2671267255773</x:v>
      </x:c>
      <x:c r="C25" s="138" t="n">
        <x:f>C6+C24</x:f>
        <x:v>2716.812876593948</x:v>
      </x:c>
      <x:c r="D25" s="138" t="n">
        <x:f>D6+D24</x:f>
        <x:v>2906.382681418746</x:v>
      </x:c>
      <x:c r="E25" s="138" t="n">
        <x:f>E6+E24</x:f>
        <x:v>3219.058705886602</x:v>
      </x:c>
      <x:c r="F25" s="139" t="n">
        <x:f>F6+F24</x:f>
        <x:v>3659.925704695242</x:v>
      </x:c>
      <x:c r="G25" s="39"/>
      <x:c r="H25" s="39"/>
    </x:row>
    <x:row r="26">
      <x:c r="A26" s="39" t="str">
        <x:v>Cash flow check</x:v>
      </x:c>
      <x:c r="B26" s="137" t="n">
        <x:f>B25-B6-B24</x:f>
        <x:v>0</x:v>
      </x:c>
      <x:c r="C26" s="137" t="n">
        <x:f>C25-C6-C24</x:f>
        <x:v>2.2737367544323206e-13</x:v>
      </x:c>
      <x:c r="D26" s="137" t="n">
        <x:f>D25-D6-D24</x:f>
        <x:v>0</x:v>
      </x:c>
      <x:c r="E26" s="137" t="n">
        <x:f>E25-E6-E24</x:f>
        <x:v>0</x:v>
      </x:c>
      <x:c r="F26" s="137" t="n">
        <x:f>F25-F6-F24</x:f>
        <x:v>0</x:v>
      </x:c>
      <x:c r="G26" s="39"/>
      <x:c r="H26" s="39"/>
    </x:row>
    <x:row r="27">
      <x:c r="A27" s="39"/>
      <x:c r="B27" s="137"/>
      <x:c r="C27" s="137"/>
      <x:c r="D27" s="137"/>
      <x:c r="E27" s="137"/>
      <x:c r="F27" s="137"/>
      <x:c r="G27" s="39"/>
      <x:c r="H27" s="39"/>
    </x:row>
    <x:row r="28">
      <x:c r="A28" s="80" t="str">
        <x:v>FCFF</x:v>
      </x:c>
      <x:c r="B28" s="138" t="n">
        <x:f>'Consolidated Income Statement'!B17-MAX('Consolidated Income Statement'!B17,0)*'Model Control Panel'!$B$25+B8+B9-'Capex &amp; Depreciation'!B$9-B12+B11</x:f>
        <x:v>2325.055876725577</x:v>
      </x:c>
      <x:c r="C28" s="138" t="n">
        <x:f>'Consolidated Income Statement'!C17-MAX('Consolidated Income Statement'!C17,0)*'Model Control Panel'!$B$25+C8+C9-'Capex &amp; Depreciation'!C$9-C12+C11</x:f>
        <x:v>1099.9917498683706</x:v>
      </x:c>
      <x:c r="D28" s="138" t="n">
        <x:f>'Consolidated Income Statement'!D17-MAX('Consolidated Income Statement'!D17,0)*'Model Control Panel'!$B$25+D8+D9-'Capex &amp; Depreciation'!D$9-D12+D11</x:f>
        <x:v>1383.463554824798</x:v>
      </x:c>
      <x:c r="E28" s="138" t="n">
        <x:f>'Consolidated Income Statement'!E17-MAX('Consolidated Income Statement'!E17,0)*'Model Control Panel'!$B$25+E8+E9-'Capex &amp; Depreciation'!E$9-E12+E11</x:f>
        <x:v>1564.0933994678562</x:v>
      </x:c>
      <x:c r="F28" s="139" t="n">
        <x:f>'Consolidated Income Statement'!F17-MAX('Consolidated Income Statement'!F17,0)*'Model Control Panel'!$B$25+F8+F9-'Capex &amp; Depreciation'!F$9-F12+F11</x:f>
        <x:v>1750.2609988086401</x:v>
      </x:c>
      <x:c r="G28" s="39"/>
      <x:c r="H28" s="39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Financial ratios and ROIC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Adjusted NOPAT uses recurring EBIT; invested capital follows operating assets and liabilities.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Metric</x:v>
      </x:c>
      <x:c r="B5" s="61" t="str">
        <x:v>FY2026</x:v>
      </x:c>
      <x:c r="C5" s="61" t="str">
        <x:v>FY2027</x:v>
      </x:c>
      <x:c r="D5" s="61" t="str">
        <x:v>FY2028</x:v>
      </x:c>
      <x:c r="E5" s="61" t="str">
        <x:v>FY2029</x:v>
      </x:c>
      <x:c r="F5" s="62" t="str">
        <x:v>FY2030</x:v>
      </x:c>
      <x:c r="G5" s="39"/>
      <x:c r="H5" s="39"/>
    </x:row>
    <x:row r="6">
      <x:c r="A6" s="39" t="str">
        <x:v>Reported NOPAT</x:v>
      </x:c>
      <x:c r="B6" s="106" t="n">
        <x:f>'Consolidated Income Statement'!B17-MAX('Consolidated Income Statement'!B17,0)*'Model Control Panel'!$B$25</x:f>
        <x:v>1212.9197235632494</x:v>
      </x:c>
      <x:c r="C6" s="106" t="n">
        <x:f>'Consolidated Income Statement'!C17-MAX('Consolidated Income Statement'!C17,0)*'Model Control Panel'!$B$25</x:f>
        <x:v>1445.1933981520547</x:v>
      </x:c>
      <x:c r="D6" s="106" t="n">
        <x:f>'Consolidated Income Statement'!D17-MAX('Consolidated Income Statement'!D17,0)*'Model Control Panel'!$B$25</x:f>
        <x:v>1699.0599581255672</x:v>
      </x:c>
      <x:c r="E6" s="106" t="n">
        <x:f>'Consolidated Income Statement'!E17-MAX('Consolidated Income Statement'!E17,0)*'Model Control Panel'!$B$25</x:f>
        <x:v>1872.5292668958227</x:v>
      </x:c>
      <x:c r="F6" s="106" t="n">
        <x:f>'Consolidated Income Statement'!F17-MAX('Consolidated Income Statement'!F17,0)*'Model Control Panel'!$B$25</x:f>
        <x:v>2038.748030222136</x:v>
      </x:c>
      <x:c r="G6" s="39"/>
      <x:c r="H6" s="39"/>
    </x:row>
    <x:row r="7">
      <x:c r="A7" s="39" t="str">
        <x:v>Adjusted NOPAT</x:v>
      </x:c>
      <x:c r="B7" s="106" t="n">
        <x:f>'Consolidated Income Statement'!B18-MAX('Consolidated Income Statement'!B18,0)*'Model Control Panel'!$B$25</x:f>
        <x:v>1360.1447235632495</x:v>
      </x:c>
      <x:c r="C7" s="106" t="n">
        <x:f>'Consolidated Income Statement'!C18-MAX('Consolidated Income Statement'!C18,0)*'Model Control Panel'!$B$25</x:f>
        <x:v>1558.4433981520547</x:v>
      </x:c>
      <x:c r="D7" s="106" t="n">
        <x:f>'Consolidated Income Statement'!D18-MAX('Consolidated Income Statement'!D18,0)*'Model Control Panel'!$B$25</x:f>
        <x:v>1763.2349581255671</x:v>
      </x:c>
      <x:c r="E7" s="106" t="n">
        <x:f>'Consolidated Income Statement'!E18-MAX('Consolidated Income Statement'!E18,0)*'Model Control Panel'!$B$25</x:f>
        <x:v>1902.7292668958228</x:v>
      </x:c>
      <x:c r="F7" s="106" t="n">
        <x:f>'Consolidated Income Statement'!F18-MAX('Consolidated Income Statement'!F18,0)*'Model Control Panel'!$B$25</x:f>
        <x:v>2050.073030222136</x:v>
      </x:c>
      <x:c r="G7" s="39"/>
      <x:c r="H7" s="39"/>
    </x:row>
    <x:row r="8">
      <x:c r="A8" s="39" t="str">
        <x:v>Operating NWC</x:v>
      </x:c>
      <x:c r="B8" s="106" t="n">
        <x:f>'Working Capital Schedule'!B18</x:f>
        <x:v>2436.468280137672</x:v>
      </x:c>
      <x:c r="C8" s="106" t="n">
        <x:f>'Working Capital Schedule'!C18</x:f>
        <x:v>2493.504226769356</x:v>
      </x:c>
      <x:c r="D8" s="106" t="n">
        <x:f>'Working Capital Schedule'!D18</x:f>
        <x:v>2560.993912664563</x:v>
      </x:c>
      <x:c r="E8" s="106" t="n">
        <x:f>'Working Capital Schedule'!E18</x:f>
        <x:v>2638.559643993833</x:v>
      </x:c>
      <x:c r="F8" s="106" t="n">
        <x:f>'Working Capital Schedule'!F18</x:f>
        <x:v>2715.1407547436456</x:v>
      </x:c>
      <x:c r="G8" s="39"/>
      <x:c r="H8" s="39"/>
    </x:row>
    <x:row r="9">
      <x:c r="A9" s="39" t="str">
        <x:v>PP&amp;E</x:v>
      </x:c>
      <x:c r="B9" s="106" t="n">
        <x:f>'Consolidated Balance Sheet'!B10</x:f>
        <x:v>5626.3955667</x:v>
      </x:c>
      <x:c r="C9" s="106" t="n">
        <x:f>'Consolidated Balance Sheet'!C10</x:f>
        <x:v>5914.561268352</x:v>
      </x:c>
      <x:c r="D9" s="106" t="n">
        <x:f>'Consolidated Balance Sheet'!D10</x:f>
        <x:v>6162.667985757563</x:v>
      </x:c>
      <x:c r="E9" s="106" t="n">
        <x:f>'Consolidated Balance Sheet'!E10</x:f>
        <x:v>6393.53812185626</x:v>
      </x:c>
      <x:c r="F9" s="106" t="n">
        <x:f>'Consolidated Balance Sheet'!F10</x:f>
        <x:v>6605.444042519944</x:v>
      </x:c>
      <x:c r="G9" s="39"/>
      <x:c r="H9" s="39"/>
    </x:row>
    <x:row r="10">
      <x:c r="A10" s="39" t="str">
        <x:v>ROU assets</x:v>
      </x:c>
      <x:c r="B10" s="106" t="n">
        <x:f>'Consolidated Balance Sheet'!B11</x:f>
        <x:v>4515</x:v>
      </x:c>
      <x:c r="C10" s="106" t="n">
        <x:f>'Consolidated Balance Sheet'!C11</x:f>
        <x:v>4740.75</x:v>
      </x:c>
      <x:c r="D10" s="106" t="n">
        <x:f>'Consolidated Balance Sheet'!D11</x:f>
        <x:v>4977.7875</x:v>
      </x:c>
      <x:c r="E10" s="106" t="n">
        <x:f>'Consolidated Balance Sheet'!E11</x:f>
        <x:v>5226.676875</x:v>
      </x:c>
      <x:c r="F10" s="106" t="n">
        <x:f>'Consolidated Balance Sheet'!F11</x:f>
        <x:v>5488.01071875</x:v>
      </x:c>
      <x:c r="G10" s="39"/>
      <x:c r="H10" s="39"/>
    </x:row>
    <x:row r="11">
      <x:c r="A11" s="39" t="str">
        <x:v>Goodwill and intangibles</x:v>
      </x:c>
      <x:c r="B11" s="106" t="n">
        <x:f>'Consolidated Balance Sheet'!B12</x:f>
        <x:v>3600</x:v>
      </x:c>
      <x:c r="C11" s="106" t="n">
        <x:f>'Consolidated Balance Sheet'!C12</x:f>
        <x:v>3600</x:v>
      </x:c>
      <x:c r="D11" s="106" t="n">
        <x:f>'Consolidated Balance Sheet'!D12</x:f>
        <x:v>3600</x:v>
      </x:c>
      <x:c r="E11" s="106" t="n">
        <x:f>'Consolidated Balance Sheet'!E12</x:f>
        <x:v>3600</x:v>
      </x:c>
      <x:c r="F11" s="106" t="n">
        <x:f>'Consolidated Balance Sheet'!F12</x:f>
        <x:v>3600</x:v>
      </x:c>
      <x:c r="G11" s="39"/>
      <x:c r="H11" s="39"/>
    </x:row>
    <x:row r="12">
      <x:c r="A12" s="39" t="str">
        <x:v>Other assets</x:v>
      </x:c>
      <x:c r="B12" s="106" t="n">
        <x:f>'Consolidated Balance Sheet'!B13</x:f>
        <x:v>0</x:v>
      </x:c>
      <x:c r="C12" s="106" t="n">
        <x:f>'Consolidated Balance Sheet'!C13</x:f>
        <x:v>0</x:v>
      </x:c>
      <x:c r="D12" s="106" t="n">
        <x:f>'Consolidated Balance Sheet'!D13</x:f>
        <x:v>0</x:v>
      </x:c>
      <x:c r="E12" s="106" t="n">
        <x:f>'Consolidated Balance Sheet'!E13</x:f>
        <x:v>0</x:v>
      </x:c>
      <x:c r="F12" s="106" t="n">
        <x:f>'Consolidated Balance Sheet'!F13</x:f>
        <x:v>0</x:v>
      </x:c>
      <x:c r="G12" s="39"/>
      <x:c r="H12" s="39"/>
    </x:row>
    <x:row r="13">
      <x:c r="A13" s="39" t="str">
        <x:v>Other liabilities</x:v>
      </x:c>
      <x:c r="B13" s="106" t="n">
        <x:f>'Consolidated Balance Sheet'!B22</x:f>
        <x:v>7750</x:v>
      </x:c>
      <x:c r="C13" s="106" t="n">
        <x:f>'Consolidated Balance Sheet'!C22</x:f>
        <x:v>7750</x:v>
      </x:c>
      <x:c r="D13" s="106" t="n">
        <x:f>'Consolidated Balance Sheet'!D22</x:f>
        <x:v>7750</x:v>
      </x:c>
      <x:c r="E13" s="106" t="n">
        <x:f>'Consolidated Balance Sheet'!E22</x:f>
        <x:v>7750</x:v>
      </x:c>
      <x:c r="F13" s="106" t="n">
        <x:f>'Consolidated Balance Sheet'!F22</x:f>
        <x:v>7750</x:v>
      </x:c>
      <x:c r="G13" s="39"/>
      <x:c r="H13" s="39"/>
    </x:row>
    <x:row r="14">
      <x:c r="A14" s="80" t="str">
        <x:v>Invested capital</x:v>
      </x:c>
      <x:c r="B14" s="109" t="n">
        <x:f>SUM(B8:B12)-B13</x:f>
        <x:v>8427.863846837672</x:v>
      </x:c>
      <x:c r="C14" s="109" t="n">
        <x:f>SUM(C8:C12)-C13</x:f>
        <x:v>8998.815495121358</x:v>
      </x:c>
      <x:c r="D14" s="109" t="n">
        <x:f>SUM(D8:D12)-D13</x:f>
        <x:v>9551.449398422126</x:v>
      </x:c>
      <x:c r="E14" s="109" t="n">
        <x:f>SUM(E8:E12)-E13</x:f>
        <x:v>10108.774640850093</x:v>
      </x:c>
      <x:c r="F14" s="110" t="n">
        <x:f>SUM(F8:F12)-F13</x:f>
        <x:v>10658.595516013589</x:v>
      </x:c>
      <x:c r="G14" s="39"/>
      <x:c r="H14" s="39"/>
    </x:row>
    <x:row r="15">
      <x:c r="A15" s="39" t="str">
        <x:v>Average invested capital</x:v>
      </x:c>
      <x:c r="B15" s="106" t="n">
        <x:f>(B14+9325)/2</x:f>
        <x:v>8876.431923418837</x:v>
      </x:c>
      <x:c r="C15" s="106" t="n">
        <x:f>(B14+C14)/2</x:f>
        <x:v>8713.339670979516</x:v>
      </x:c>
      <x:c r="D15" s="106" t="n">
        <x:f>(C14+D14)/2</x:f>
        <x:v>9275.132446771742</x:v>
      </x:c>
      <x:c r="E15" s="106" t="n">
        <x:f>(D14+E14)/2</x:f>
        <x:v>9830.11201963611</x:v>
      </x:c>
      <x:c r="F15" s="106" t="n">
        <x:f>(E14+F14)/2</x:f>
        <x:v>10383.685078431841</x:v>
      </x:c>
      <x:c r="G15" s="39"/>
      <x:c r="H15" s="39"/>
    </x:row>
    <x:row r="16">
      <x:c r="A16" s="39" t="str">
        <x:v>ROIC</x:v>
      </x:c>
      <x:c r="B16" s="140" t="n">
        <x:f>B7/B15</x:f>
        <x:v>0.15323102067338085</x:v>
      </x:c>
      <x:c r="C16" s="140" t="n">
        <x:f>C7/C15</x:f>
        <x:v>0.1788571841566761</x:v>
      </x:c>
      <x:c r="D16" s="140" t="n">
        <x:f>D7/D15</x:f>
        <x:v>0.19010348027313292</x:v>
      </x:c>
      <x:c r="E16" s="140" t="n">
        <x:f>E7/E15</x:f>
        <x:v>0.1935613005319809</x:v>
      </x:c>
      <x:c r="F16" s="140" t="n">
        <x:f>F7/F15</x:f>
        <x:v>0.19743212691228312</x:v>
      </x:c>
      <x:c r="G16" s="39"/>
      <x:c r="H16" s="39"/>
    </x:row>
    <x:row r="17">
      <x:c r="A17" s="39" t="str">
        <x:v>WACC</x:v>
      </x:c>
      <x:c r="B17" s="140" t="n">
        <x:f>'Model Control Panel'!$B$27</x:f>
        <x:v>0.09340608112740831</x:v>
      </x:c>
      <x:c r="C17" s="140" t="n">
        <x:f>'Model Control Panel'!$B$27</x:f>
        <x:v>0.09340608112740831</x:v>
      </x:c>
      <x:c r="D17" s="140" t="n">
        <x:f>'Model Control Panel'!$B$27</x:f>
        <x:v>0.09340608112740831</x:v>
      </x:c>
      <x:c r="E17" s="140" t="n">
        <x:f>'Model Control Panel'!$B$27</x:f>
        <x:v>0.09340608112740831</x:v>
      </x:c>
      <x:c r="F17" s="140" t="n">
        <x:f>'Model Control Panel'!$B$27</x:f>
        <x:v>0.09340608112740831</x:v>
      </x:c>
      <x:c r="G17" s="39"/>
      <x:c r="H17" s="39"/>
    </x:row>
    <x:row r="18">
      <x:c r="A18" s="39" t="str">
        <x:v>ROIC less WACC</x:v>
      </x:c>
      <x:c r="B18" s="140" t="n">
        <x:f>B16-B17</x:f>
        <x:v>0.05982493954597254</x:v>
      </x:c>
      <x:c r="C18" s="140" t="n">
        <x:f>C16-C17</x:f>
        <x:v>0.08545110302926778</x:v>
      </x:c>
      <x:c r="D18" s="140" t="n">
        <x:f>D16-D17</x:f>
        <x:v>0.09669739914572462</x:v>
      </x:c>
      <x:c r="E18" s="140" t="n">
        <x:f>E16-E17</x:f>
        <x:v>0.10015521940457259</x:v>
      </x:c>
      <x:c r="F18" s="140" t="n">
        <x:f>F16-F17</x:f>
        <x:v>0.10402604578487482</x:v>
      </x:c>
      <x:c r="G18" s="39"/>
      <x:c r="H18" s="39"/>
    </x:row>
    <x:row r="19">
      <x:c r="A19" s="39" t="str">
        <x:v>Economic profit</x:v>
      </x:c>
      <x:c r="B19" s="106" t="n">
        <x:f>B7-B17*B15</x:f>
        <x:v>531.0320032024727</x:v>
      </x:c>
      <x:c r="C19" s="106" t="n">
        <x:f>C7-C17*C15</x:f>
        <x:v>744.5644859538768</x:v>
      </x:c>
      <x:c r="D19" s="106" t="n">
        <x:f>D7-D17*D15</x:f>
        <x:v>896.8811843349487</x:v>
      </x:c>
      <x:c r="E19" s="106" t="n">
        <x:f>E7-E17*E15</x:f>
        <x:v>984.5370260981807</x:v>
      </x:c>
      <x:c r="F19" s="106" t="n">
        <x:f>F7-F17*F15</x:f>
        <x:v>1080.173699384672</x:v>
      </x:c>
      <x:c r="G19" s="39"/>
      <x:c r="H19" s="39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Wall Street consensus</x:v>
      </x:c>
      <x:c r="B2" s="36"/>
      <x:c r="C2" s="36"/>
      <x:c r="D2" s="36"/>
      <x:c r="E2" s="36"/>
      <x:c r="F2" s="36"/>
      <x:c r="G2" s="36"/>
      <x:c r="H2" s="36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40" t="str">
        <x:v>Status</x:v>
      </x:c>
      <x:c r="B5" s="39" t="str">
        <x:v>BLOCKED — licensed source unavailable</x:v>
      </x:c>
      <x:c r="C5" s="39"/>
      <x:c r="D5" s="39"/>
      <x:c r="E5" s="39"/>
      <x:c r="F5" s="39"/>
      <x:c r="G5" s="39"/>
      <x:c r="H5" s="39"/>
    </x:row>
    <x:row r="6">
      <x:c r="A6" s="42" t="str">
        <x:v>Policy</x:v>
      </x:c>
      <x:c r="B6" s="39" t="str">
        <x:v>No broker consensus is manufactured from public filings.</x:v>
      </x:c>
      <x:c r="C6" s="39"/>
      <x:c r="D6" s="39"/>
      <x:c r="E6" s="39"/>
      <x:c r="F6" s="39"/>
      <x:c r="G6" s="39"/>
      <x:c r="H6" s="39"/>
    </x:row>
    <x:row r="7">
      <x:c r="A7" s="50" t="str">
        <x:v>Next step</x:v>
      </x:c>
      <x:c r="B7" s="39" t="str">
        <x:v>Load permissioned observed estimates with price date, period and provenance.</x:v>
      </x:c>
      <x:c r="C7" s="39"/>
      <x:c r="D7" s="39"/>
      <x:c r="E7" s="39"/>
      <x:c r="F7" s="39"/>
      <x:c r="G7" s="39"/>
      <x:c r="H7" s="39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Consensus variant bridge</x:v>
      </x:c>
      <x:c r="B2" s="36"/>
      <x:c r="C2" s="36"/>
      <x:c r="D2" s="36"/>
      <x:c r="E2" s="36"/>
      <x:c r="F2" s="36"/>
      <x:c r="G2" s="36"/>
      <x:c r="H2" s="36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40" t="str">
        <x:v>Status</x:v>
      </x:c>
      <x:c r="B5" s="39" t="str">
        <x:v>BLOCKED — licensed source unavailable</x:v>
      </x:c>
      <x:c r="C5" s="39"/>
      <x:c r="D5" s="39"/>
      <x:c r="E5" s="39"/>
      <x:c r="F5" s="39"/>
      <x:c r="G5" s="39"/>
      <x:c r="H5" s="39"/>
    </x:row>
    <x:row r="6">
      <x:c r="A6" s="42" t="str">
        <x:v>Our view</x:v>
      </x:c>
      <x:c r="B6" s="39" t="str">
        <x:v>Available in the operating and valuation schedules</x:v>
      </x:c>
      <x:c r="C6" s="39"/>
      <x:c r="D6" s="39"/>
      <x:c r="E6" s="39"/>
      <x:c r="F6" s="39"/>
      <x:c r="G6" s="39"/>
      <x:c r="H6" s="39"/>
    </x:row>
    <x:row r="7">
      <x:c r="A7" s="50" t="str">
        <x:v>Consensus comparison</x:v>
      </x:c>
      <x:c r="B7" s="39" t="str">
        <x:v>Unavailable until permissioned observations are supplied</x:v>
      </x:c>
      <x:c r="C7" s="39"/>
      <x:c r="D7" s="39"/>
      <x:c r="E7" s="39"/>
      <x:c r="F7" s="39"/>
      <x:c r="G7" s="39"/>
      <x:c r="H7" s="39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Valuation bridge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One valuation-date enterprise-to-equity bridge is used across methods.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Line item</x:v>
      </x:c>
      <x:c r="B5" s="61" t="str">
        <x:v>Amount</x:v>
      </x:c>
      <x:c r="C5" s="62" t="str">
        <x:v>Treatment</x:v>
      </x:c>
      <x:c r="D5" s="39"/>
      <x:c r="E5" s="39"/>
      <x:c r="F5" s="39"/>
      <x:c r="G5" s="39"/>
      <x:c r="H5" s="39"/>
    </x:row>
    <x:row r="6">
      <x:c r="A6" s="39" t="str">
        <x:v>Enterprise value</x:v>
      </x:c>
      <x:c r="B6" s="123" t="n">
        <x:f>'Discounted Cash Flow'!$B$27</x:f>
        <x:v>23886.589420156524</x:v>
      </x:c>
      <x:c r="C6" s="39" t="str">
        <x:v>calculated by method</x:v>
      </x:c>
      <x:c r="D6" s="39"/>
      <x:c r="E6" s="39"/>
      <x:c r="F6" s="39"/>
      <x:c r="G6" s="39"/>
      <x:c r="H6" s="39"/>
    </x:row>
    <x:row r="7">
      <x:c r="A7" s="39" t="str">
        <x:v>Add: valuation-date cash</x:v>
      </x:c>
      <x:c r="B7" s="123" t="n">
        <x:f>'Model Control Panel'!$B$12</x:f>
        <x:v>1225</x:v>
      </x:c>
      <x:c r="C7" s="39" t="str">
        <x:v>valuation-date claim</x:v>
      </x:c>
      <x:c r="D7" s="39"/>
      <x:c r="E7" s="39"/>
      <x:c r="F7" s="39"/>
      <x:c r="G7" s="39"/>
      <x:c r="H7" s="39"/>
    </x:row>
    <x:row r="8">
      <x:c r="A8" s="39" t="str">
        <x:v>Add: nonoperating assets</x:v>
      </x:c>
      <x:c r="B8" s="123" t="n">
        <x:f>'Model Control Panel'!$B$15</x:f>
        <x:v>0</x:v>
      </x:c>
      <x:c r="C8" s="39" t="str">
        <x:v>valuation-date claim</x:v>
      </x:c>
      <x:c r="D8" s="39"/>
      <x:c r="E8" s="39"/>
      <x:c r="F8" s="39"/>
      <x:c r="G8" s="39"/>
      <x:c r="H8" s="39"/>
    </x:row>
    <x:row r="9">
      <x:c r="A9" s="39" t="str">
        <x:v>Less: debt</x:v>
      </x:c>
      <x:c r="B9" s="123" t="n">
        <x:f>-'Model Control Panel'!$B$13</x:f>
        <x:v>-2400</x:v>
      </x:c>
      <x:c r="C9" s="39" t="str">
        <x:v>valuation-date claim</x:v>
      </x:c>
      <x:c r="D9" s="39"/>
      <x:c r="E9" s="39"/>
      <x:c r="F9" s="39"/>
      <x:c r="G9" s="39"/>
      <x:c r="H9" s="39"/>
    </x:row>
    <x:row r="10">
      <x:c r="A10" s="39" t="str">
        <x:v>Less: finance leases</x:v>
      </x:c>
      <x:c r="B10" s="123" t="n">
        <x:f>-'Model Control Panel'!$B$14</x:f>
        <x:v>0</x:v>
      </x:c>
      <x:c r="C10" s="39" t="str">
        <x:v>debt-like claim</x:v>
      </x:c>
      <x:c r="D10" s="39"/>
      <x:c r="E10" s="39"/>
      <x:c r="F10" s="39"/>
      <x:c r="G10" s="39"/>
      <x:c r="H10" s="39"/>
    </x:row>
    <x:row r="11">
      <x:c r="A11" s="39" t="str">
        <x:v>Less: other equity claims</x:v>
      </x:c>
      <x:c r="B11" s="123" t="n">
        <x:f>-'Model Control Panel'!$B$16</x:f>
        <x:v>0</x:v>
      </x:c>
      <x:c r="C11" s="39" t="str">
        <x:v>valuation-date claim</x:v>
      </x:c>
      <x:c r="D11" s="39"/>
      <x:c r="E11" s="39"/>
      <x:c r="F11" s="39"/>
      <x:c r="G11" s="39"/>
      <x:c r="H11" s="39"/>
    </x:row>
    <x:row r="12">
      <x:c r="A12" s="39" t="str">
        <x:v>Operating lease liabilities</x:v>
      </x:c>
      <x:c r="B12" s="123" t="n">
        <x:v>0</x:v>
      </x:c>
      <x:c r="C12" s="39" t="str">
        <x:v>excluded under standard convention</x:v>
      </x:c>
      <x:c r="D12" s="39"/>
      <x:c r="E12" s="39"/>
      <x:c r="F12" s="39"/>
      <x:c r="G12" s="39"/>
      <x:c r="H12" s="39"/>
    </x:row>
    <x:row r="13">
      <x:c r="A13" s="80" t="str">
        <x:v>Equity value</x:v>
      </x:c>
      <x:c r="B13" s="138" t="n">
        <x:f>SUM(B6:B12)</x:f>
        <x:v>22711.589420156524</x:v>
      </x:c>
      <x:c r="C13" s="93" t="str">
        <x:v>current equity value</x:v>
      </x:c>
      <x:c r="D13" s="39"/>
      <x:c r="E13" s="39"/>
      <x:c r="F13" s="39"/>
      <x:c r="G13" s="39"/>
      <x:c r="H13" s="39"/>
    </x:row>
    <x:row r="14">
      <x:c r="A14" s="39" t="str">
        <x:v>Current diluted shares</x:v>
      </x:c>
      <x:c r="B14" s="123" t="n">
        <x:f>'Model Control Panel'!$B$11</x:f>
        <x:v>86.5</x:v>
      </x:c>
      <x:c r="C14" s="39" t="str">
        <x:v>shares in millions</x:v>
      </x:c>
      <x:c r="D14" s="39"/>
      <x:c r="E14" s="39"/>
      <x:c r="F14" s="39"/>
      <x:c r="G14" s="39"/>
      <x:c r="H14" s="39"/>
    </x:row>
    <x:row r="15">
      <x:c r="A15" s="80" t="str">
        <x:v>Price per share</x:v>
      </x:c>
      <x:c r="B15" s="169" t="n">
        <x:f>B13/B14</x:f>
        <x:v>262.56172740065347</x:v>
      </x:c>
      <x:c r="C15" s="93" t="str">
        <x:v>USD per share</x:v>
      </x:c>
      <x:c r="D15" s="39"/>
      <x:c r="E15" s="39"/>
      <x:c r="F15" s="39"/>
      <x:c r="G15" s="39"/>
      <x:c r="H15" s="39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Discounted cash flow</x:v>
      </x:c>
      <x:c r="B2" s="36"/>
      <x:c r="C2" s="36"/>
      <x:c r="D2" s="36"/>
      <x:c r="E2" s="36"/>
      <x:c r="F2" s="36"/>
      <x:c r="G2" s="36"/>
      <x:c r="H2" s="36"/>
      <x:c r="I2" s="39"/>
      <x:c r="J2" s="39"/>
      <x:c r="K2" s="39"/>
      <x:c r="L2" s="39"/>
      <x:c r="M2" s="39"/>
      <x:c r="N2" s="39"/>
      <x:c r="O2" s="39"/>
    </x:row>
    <x:row r="3">
      <x:c r="A3" s="37" t="str">
        <x:v>Valuation-date bridge uses current claims and current diluted shares. Operating leases are excluded from net debt.</x:v>
      </x:c>
      <x:c r="B3" s="38"/>
      <x:c r="C3" s="38"/>
      <x:c r="D3" s="38"/>
      <x:c r="E3" s="38"/>
      <x:c r="F3" s="38"/>
      <x:c r="G3" s="38"/>
      <x:c r="H3" s="38"/>
      <x:c r="I3" s="39"/>
      <x:c r="J3" s="39"/>
      <x:c r="K3" s="80" t="str">
        <x:v>DCF price sensitivity</x:v>
      </x:c>
      <x:c r="L3" s="92"/>
      <x:c r="M3" s="92"/>
      <x:c r="N3" s="92"/>
      <x:c r="O3" s="93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</x:row>
    <x:row r="5">
      <x:c r="A5" s="40" t="str">
        <x:v>WACC</x:v>
      </x:c>
      <x:c r="B5" s="108" t="n">
        <x:f>'Model Control Panel'!$B$27</x:f>
        <x:v>0.09340608112740831</x:v>
      </x:c>
      <x:c r="C5" s="39"/>
      <x:c r="D5" s="39"/>
      <x:c r="E5" s="39"/>
      <x:c r="F5" s="39"/>
      <x:c r="G5" s="39"/>
      <x:c r="H5" s="39"/>
      <x:c r="I5" s="39"/>
      <x:c r="J5" s="39"/>
      <x:c r="K5" s="39" t="n">
        <x:f>$B$30</x:f>
        <x:v>262.56172740065347</x:v>
      </x:c>
      <x:c r="L5" s="162" t="n">
        <x:v>0.077</x:v>
      </x:c>
      <x:c r="M5" s="162" t="n">
        <x:v>0.08199999999999999</x:v>
      </x:c>
      <x:c r="N5" s="162" t="n">
        <x:v>0.087</x:v>
      </x:c>
      <x:c r="O5" s="162" t="n">
        <x:v>0.092</x:v>
      </x:c>
    </x:row>
    <x:row r="6">
      <x:c r="A6" s="42" t="str">
        <x:v>Terminal growth</x:v>
      </x:c>
      <x:c r="B6" s="108" t="n">
        <x:f>'Model Control Panel'!$B$28</x:f>
        <x:v>0.025</x:v>
      </x:c>
      <x:c r="C6" s="39"/>
      <x:c r="D6" s="39"/>
      <x:c r="E6" s="39"/>
      <x:c r="F6" s="39"/>
      <x:c r="G6" s="39"/>
      <x:c r="H6" s="39"/>
      <x:c r="I6" s="39"/>
      <x:c r="J6" s="39"/>
      <x:c r="K6" s="162" t="n">
        <x:v>0.02</x:v>
      </x:c>
      <x:c r="L6" s="163" t="n">
        <x:f t="dataTable" ref="L6:O9" dt2D="1" r1="B5" r2="B6"/>
        <x:v>331.7309555304799</x:v>
      </x:c>
      <x:c r="M6" s="163" t="n">
        <x:v>303.4306427714224</x:v>
      </x:c>
      <x:c r="N6" s="163" t="n">
        <x:v>279.3941287046985</x:v>
      </x:c>
      <x:c r="O6" s="163" t="n">
        <x:v>258.7313068098884</x:v>
      </x:c>
    </x:row>
    <x:row r="7">
      <x:c r="A7" s="50" t="str">
        <x:v>Valuation date</x:v>
      </x:c>
      <x:c r="B7" s="164" t="str">
        <x:v>2026-10-10</x:v>
      </x:c>
      <x:c r="C7" s="39"/>
      <x:c r="D7" s="39"/>
      <x:c r="E7" s="39"/>
      <x:c r="F7" s="39"/>
      <x:c r="G7" s="39"/>
      <x:c r="H7" s="39"/>
      <x:c r="I7" s="39"/>
      <x:c r="J7" s="39"/>
      <x:c r="K7" s="162" t="n">
        <x:v>0.025</x:v>
      </x:c>
      <x:c r="L7" s="163" t="n">
        <x:v>350.4703964510181</x:v>
      </x:c>
      <x:c r="M7" s="163" t="n">
        <x:v>318.2721048487041</x:v>
      </x:c>
      <x:c r="N7" s="163" t="n">
        <x:v>291.3046987962433</x:v>
      </x:c>
      <x:c r="O7" s="163" t="n">
        <x:v>268.3952990188935</x:v>
      </x:c>
    </x:row>
    <x:row r="8">
      <x:c r="A8" s="39"/>
      <x:c r="B8" s="39"/>
      <x:c r="C8" s="39"/>
      <x:c r="D8" s="39"/>
      <x:c r="E8" s="39"/>
      <x:c r="F8" s="39"/>
      <x:c r="G8" s="39"/>
      <x:c r="H8" s="39"/>
      <x:c r="I8" s="39"/>
      <x:c r="J8" s="39"/>
      <x:c r="K8" s="162" t="n">
        <x:v>0.030000000000000002</x:v>
      </x:c>
      <x:c r="L8" s="163" t="n">
        <x:v>373.1134485236625</x:v>
      </x:c>
      <x:c r="M8" s="163" t="n">
        <x:v>335.8944167926043</x:v>
      </x:c>
      <x:c r="N8" s="163" t="n">
        <x:v>305.2399257009623</x:v>
      </x:c>
      <x:c r="O8" s="163" t="n">
        <x:v>279.5600316020599</x:v>
      </x:c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162" t="n">
        <x:v>0.035</x:v>
      </x:c>
      <x:c r="L9" s="163" t="n">
        <x:v>401.0537674910863</x:v>
      </x:c>
      <x:c r="M9" s="163" t="n">
        <x:v>357.1846637440446</x:v>
      </x:c>
      <x:c r="N9" s="163" t="n">
        <x:v>321.7834814471063</x:v>
      </x:c>
      <x:c r="O9" s="163" t="n">
        <x:v>292.6201186017896</x:v>
      </x:c>
    </x:row>
    <x:row r="10">
      <x:c r="A10" s="60" t="str">
        <x:v>Metric</x:v>
      </x:c>
      <x:c r="B10" s="61" t="str">
        <x:v>FY2026</x:v>
      </x:c>
      <x:c r="C10" s="61" t="str">
        <x:v>FY2027</x:v>
      </x:c>
      <x:c r="D10" s="61" t="str">
        <x:v>FY2028</x:v>
      </x:c>
      <x:c r="E10" s="61" t="str">
        <x:v>FY2029</x:v>
      </x:c>
      <x:c r="F10" s="61" t="str">
        <x:v>FY2030</x:v>
      </x:c>
      <x:c r="G10" s="61" t="str">
        <x:v>FY2031</x:v>
      </x:c>
      <x:c r="H10" s="61" t="str">
        <x:v>FY2032</x:v>
      </x:c>
      <x:c r="I10" s="62" t="str">
        <x:v>FY2033</x:v>
      </x:c>
      <x:c r="J10" s="39"/>
      <x:c r="K10" s="39"/>
      <x:c r="L10" s="39"/>
      <x:c r="M10" s="39"/>
      <x:c r="N10" s="39"/>
      <x:c r="O10" s="39"/>
    </x:row>
    <x:row r="11">
      <x:c r="A11" s="39" t="str">
        <x:v>Revenue growth</x:v>
      </x:c>
      <x:c r="B11" s="140"/>
      <x:c r="C11" s="140"/>
      <x:c r="D11" s="140"/>
      <x:c r="E11" s="140"/>
      <x:c r="F11" s="140"/>
      <x:c r="G11" s="140" t="n">
        <x:f>0.035+($B$6-0.035)*0.3333333333333333</x:f>
        <x:v>0.03166666666666667</x:v>
      </x:c>
      <x:c r="H11" s="140" t="n">
        <x:f>0.035+($B$6-0.035)*0.6666666666666666</x:f>
        <x:v>0.028333333333333335</x:v>
      </x:c>
      <x:c r="I11" s="140" t="n">
        <x:f>0.035+($B$6-0.035)*1</x:f>
        <x:v>0.025</x:v>
      </x:c>
      <x:c r="J11" s="39"/>
      <x:c r="K11" s="39"/>
      <x:c r="L11" s="39"/>
      <x:c r="M11" s="39"/>
      <x:c r="N11" s="39"/>
      <x:c r="O11" s="39"/>
    </x:row>
    <x:row r="12">
      <x:c r="A12" s="39" t="str">
        <x:v>Revenue</x:v>
      </x:c>
      <x:c r="B12" s="106" t="n">
        <x:f>'Consolidated Income Statement'!B8</x:f>
        <x:v>23313.96905</x:v>
      </x:c>
      <x:c r="C12" s="106" t="n">
        <x:f>'Consolidated Income Statement'!C8</x:f>
        <x:v>24013.808470999997</x:v>
      </x:c>
      <x:c r="D12" s="106" t="n">
        <x:f>'Consolidated Income Statement'!D8</x:f>
        <x:v>24810.671740556245</x:v>
      </x:c>
      <x:c r="E12" s="106" t="n">
        <x:f>'Consolidated Income Statement'!E8</x:f>
        <x:v>25652.237344299618</x:v>
      </x:c>
      <x:c r="F12" s="106" t="n">
        <x:f>'Consolidated Income Statement'!F8</x:f>
        <x:v>26488.24008296044</x:v>
      </x:c>
      <x:c r="G12" s="106" t="n">
        <x:f>F12*(1+G11)</x:f>
        <x:v>27327.03435225419</x:v>
      </x:c>
      <x:c r="H12" s="106" t="n">
        <x:f>G12*(1+H11)</x:f>
        <x:v>28101.30032556806</x:v>
      </x:c>
      <x:c r="I12" s="106" t="n">
        <x:f>H12*(1+I11)</x:f>
        <x:v>28803.83283370726</x:v>
      </x:c>
      <x:c r="J12" s="39"/>
      <x:c r="K12" s="39"/>
      <x:c r="L12" s="39"/>
      <x:c r="M12" s="39"/>
      <x:c r="N12" s="39"/>
      <x:c r="O12" s="39"/>
    </x:row>
    <x:row r="13">
      <x:c r="A13" s="39" t="str">
        <x:v>Normalized EBIT margin</x:v>
      </x:c>
      <x:c r="B13" s="140" t="n">
        <x:f>'Consolidated Income Statement'!B18/'Consolidated Income Statement'!B8</x:f>
        <x:v>0.07727196455851858</x:v>
      </x:c>
      <x:c r="C13" s="140" t="n">
        <x:f>'Consolidated Income Statement'!C18/'Consolidated Income Statement'!C8</x:f>
        <x:v>0.08595735423449234</x:v>
      </x:c>
      <x:c r="D13" s="140" t="n">
        <x:f>'Consolidated Income Statement'!D18/'Consolidated Income Statement'!D8</x:f>
        <x:v>0.09412927489367953</x:v>
      </x:c>
      <x:c r="E13" s="140" t="n">
        <x:f>'Consolidated Income Statement'!E18/'Consolidated Income Statement'!E8</x:f>
        <x:v>0.0982437196649274</x:v>
      </x:c>
      <x:c r="F13" s="140" t="n">
        <x:f>'Consolidated Income Statement'!F18/'Consolidated Income Statement'!F8</x:f>
        <x:v>0.10251071827898633</x:v>
      </x:c>
      <x:c r="G13" s="140" t="n">
        <x:f>$F$13</x:f>
        <x:v>0.10251071827898633</x:v>
      </x:c>
      <x:c r="H13" s="140" t="n">
        <x:f>$F$13</x:f>
        <x:v>0.10251071827898633</x:v>
      </x:c>
      <x:c r="I13" s="140" t="n">
        <x:f>$F$13</x:f>
        <x:v>0.10251071827898633</x:v>
      </x:c>
      <x:c r="J13" s="39"/>
      <x:c r="K13" s="39"/>
      <x:c r="L13" s="39"/>
      <x:c r="M13" s="39"/>
      <x:c r="N13" s="39"/>
      <x:c r="O13" s="39"/>
    </x:row>
    <x:row r="14">
      <x:c r="A14" s="39" t="str">
        <x:v>NOPAT</x:v>
      </x:c>
      <x:c r="B14" s="140" t="n">
        <x:f>'Consolidated Income Statement'!B18*(1-'Model Control Panel'!$B$25)</x:f>
        <x:v>1360.1447235632493</x:v>
      </x:c>
      <x:c r="C14" s="140" t="n">
        <x:f>'Consolidated Income Statement'!C18*(1-'Model Control Panel'!$B$25)</x:f>
        <x:v>1558.4433981520547</x:v>
      </x:c>
      <x:c r="D14" s="140" t="n">
        <x:f>'Consolidated Income Statement'!D18*(1-'Model Control Panel'!$B$25)</x:f>
        <x:v>1763.2349581255671</x:v>
      </x:c>
      <x:c r="E14" s="140" t="n">
        <x:f>'Consolidated Income Statement'!E18*(1-'Model Control Panel'!$B$25)</x:f>
        <x:v>1902.7292668958228</x:v>
      </x:c>
      <x:c r="F14" s="140" t="n">
        <x:f>'Consolidated Income Statement'!F18*(1-'Model Control Panel'!$B$25)</x:f>
        <x:v>2050.073030222136</x:v>
      </x:c>
      <x:c r="G14" s="140" t="n">
        <x:f>G12*G13*(1-'Model Control Panel'!$B$25)</x:f>
        <x:v>2114.992009512504</x:v>
      </x:c>
      <x:c r="H14" s="140" t="n">
        <x:f>H12*H13*(1-'Model Control Panel'!$B$25)</x:f>
        <x:v>2174.916783115358</x:v>
      </x:c>
      <x:c r="I14" s="140" t="n">
        <x:f>I12*I13*(1-'Model Control Panel'!$B$25)</x:f>
        <x:v>2229.289702693242</x:v>
      </x:c>
      <x:c r="J14" s="39"/>
      <x:c r="K14" s="39"/>
      <x:c r="L14" s="39"/>
      <x:c r="M14" s="39"/>
      <x:c r="N14" s="39"/>
      <x:c r="O14" s="39"/>
    </x:row>
    <x:row r="15">
      <x:c r="A15" s="39" t="str">
        <x:v>Normalized ROIC</x:v>
      </x:c>
      <x:c r="B15" s="140" t="n">
        <x:f>'Financial Ratios &amp; ROIC'!B$16</x:f>
        <x:v>0.15323102067338085</x:v>
      </x:c>
      <x:c r="C15" s="140" t="n">
        <x:f>'Financial Ratios &amp; ROIC'!C$16</x:f>
        <x:v>0.1788571841566761</x:v>
      </x:c>
      <x:c r="D15" s="140" t="n">
        <x:f>'Financial Ratios &amp; ROIC'!D$16</x:f>
        <x:v>0.19010348027313292</x:v>
      </x:c>
      <x:c r="E15" s="140" t="n">
        <x:f>'Financial Ratios &amp; ROIC'!E$16</x:f>
        <x:v>0.1935613005319809</x:v>
      </x:c>
      <x:c r="F15" s="140" t="n">
        <x:f>'Financial Ratios &amp; ROIC'!F$16</x:f>
        <x:v>0.19743212691228312</x:v>
      </x:c>
      <x:c r="G15" s="140" t="n">
        <x:f>MAX($F$15,$B$6+2%)</x:f>
        <x:v>0.19743212691228312</x:v>
      </x:c>
      <x:c r="H15" s="140" t="n">
        <x:f>MAX($F$15,$B$6+2%)</x:f>
        <x:v>0.19743212691228312</x:v>
      </x:c>
      <x:c r="I15" s="140" t="n">
        <x:f>MAX($F$15,$B$6+2%)</x:f>
        <x:v>0.19743212691228312</x:v>
      </x:c>
      <x:c r="J15" s="39"/>
      <x:c r="K15" s="39"/>
      <x:c r="L15" s="39"/>
      <x:c r="M15" s="39"/>
      <x:c r="N15" s="39"/>
      <x:c r="O15" s="39"/>
    </x:row>
    <x:row r="16">
      <x:c r="A16" s="39" t="str">
        <x:v>Reinvestment rate</x:v>
      </x:c>
      <x:c r="B16" s="140"/>
      <x:c r="C16" s="140"/>
      <x:c r="D16" s="140"/>
      <x:c r="E16" s="140"/>
      <x:c r="F16" s="140"/>
      <x:c r="G16" s="140" t="n">
        <x:f>G11/G15</x:f>
        <x:v>0.16039267348183822</x:v>
      </x:c>
      <x:c r="H16" s="140" t="n">
        <x:f>H11/H15</x:f>
        <x:v>0.1435092341679605</x:v>
      </x:c>
      <x:c r="I16" s="140" t="n">
        <x:f>I11/I15</x:f>
        <x:v>0.1266257948540828</x:v>
      </x:c>
      <x:c r="J16" s="39"/>
      <x:c r="K16" s="39"/>
      <x:c r="L16" s="39"/>
      <x:c r="M16" s="39"/>
      <x:c r="N16" s="39"/>
      <x:c r="O16" s="39"/>
    </x:row>
    <x:row r="17">
      <x:c r="A17" s="39" t="str">
        <x:v>FCFF</x:v>
      </x:c>
      <x:c r="B17" s="106" t="n">
        <x:f>'Consolidated Cash Flow'!B$28*0.3104395604395604</x:f>
        <x:v>721.7893243681049</x:v>
      </x:c>
      <x:c r="C17" s="106" t="n">
        <x:f>'Consolidated Cash Flow'!C$28*1</x:f>
        <x:v>1099.9917498683706</x:v>
      </x:c>
      <x:c r="D17" s="106" t="n">
        <x:f>'Consolidated Cash Flow'!D$28*1</x:f>
        <x:v>1383.463554824798</x:v>
      </x:c>
      <x:c r="E17" s="106" t="n">
        <x:f>'Consolidated Cash Flow'!E$28*1</x:f>
        <x:v>1564.0933994678562</x:v>
      </x:c>
      <x:c r="F17" s="106" t="n">
        <x:f>'Consolidated Cash Flow'!F$28*1</x:f>
        <x:v>1750.2609988086401</x:v>
      </x:c>
      <x:c r="G17" s="106" t="n">
        <x:f>G14*(1-G16)</x:f>
        <x:v>1775.7627867140682</x:v>
      </x:c>
      <x:c r="H17" s="106" t="n">
        <x:f>H14*(1-H16)</x:f>
        <x:v>1862.796141191429</x:v>
      </x:c>
      <x:c r="I17" s="106" t="n">
        <x:f>I14*(1-I16)</x:f>
        <x:v>1947.0041221296883</x:v>
      </x:c>
      <x:c r="J17" s="39"/>
      <x:c r="K17" s="39"/>
      <x:c r="L17" s="39"/>
      <x:c r="M17" s="39"/>
      <x:c r="N17" s="39"/>
      <x:c r="O17" s="39"/>
    </x:row>
    <x:row r="18">
      <x:c r="A18" s="39" t="str">
        <x:v>Discount years</x:v>
      </x:c>
      <x:c r="B18" s="106" t="n">
        <x:v>0.15331964407939766</x:v>
      </x:c>
      <x:c r="C18" s="106" t="n">
        <x:v>0.810403832991102</x:v>
      </x:c>
      <x:c r="D18" s="106" t="n">
        <x:v>1.809719370294319</x:v>
      </x:c>
      <x:c r="E18" s="106" t="n">
        <x:v>2.811772758384668</x:v>
      </x:c>
      <x:c r="F18" s="106" t="n">
        <x:v>3.811088295687885</x:v>
      </x:c>
      <x:c r="G18" s="106" t="n">
        <x:v>4.810403832991102</x:v>
      </x:c>
      <x:c r="H18" s="106" t="n">
        <x:v>5.809719370294319</x:v>
      </x:c>
      <x:c r="I18" s="106" t="n">
        <x:v>6.811772758384668</x:v>
      </x:c>
      <x:c r="J18" s="39"/>
      <x:c r="K18" s="39"/>
      <x:c r="L18" s="39"/>
      <x:c r="M18" s="39"/>
      <x:c r="N18" s="39"/>
      <x:c r="O18" s="39"/>
    </x:row>
    <x:row r="19">
      <x:c r="A19" s="39" t="str">
        <x:v>Discount factor</x:v>
      </x:c>
      <x:c r="B19" s="106" t="n">
        <x:f>(1+$B$5)^B18</x:f>
        <x:v>1.0137852389687585</x:v>
      </x:c>
      <x:c r="C19" s="106" t="n">
        <x:f>(1+$B$5)^C18</x:f>
        <x:v>1.0750500013061735</x:v>
      </x:c>
      <x:c r="D19" s="106" t="n">
        <x:f>(1+$B$5)^D18</x:f>
        <x:v>1.1753943655596364</x:v>
      </x:c>
      <x:c r="E19" s="106" t="n">
        <x:f>(1+$B$5)^E18</x:f>
        <x:v>1.285419023411116</x:v>
      </x:c>
      <x:c r="F19" s="106" t="n">
        <x:f>(1+$B$5)^F18</x:f>
        <x:v>1.4053990750801368</x:v>
      </x:c>
      <x:c r="G19" s="106" t="n">
        <x:f>(1+$B$5)^G18</x:f>
        <x:v>1.536577975168485</x:v>
      </x:c>
      <x:c r="H19" s="106" t="n">
        <x:f>(1+$B$5)^H18</x:f>
        <x:v>1.6800010158241008</x:v>
      </x:c>
      <x:c r="I19" s="106" t="n">
        <x:f>(1+$B$5)^I18</x:f>
        <x:v>1.837260181234662</x:v>
      </x:c>
      <x:c r="J19" s="39"/>
      <x:c r="K19" s="39"/>
      <x:c r="L19" s="39"/>
      <x:c r="M19" s="39"/>
      <x:c r="N19" s="39"/>
      <x:c r="O19" s="39"/>
    </x:row>
    <x:row r="20">
      <x:c r="A20" s="39" t="str">
        <x:v>Present value</x:v>
      </x:c>
      <x:c r="B20" s="106" t="n">
        <x:f>B17/B19</x:f>
        <x:v>711.9745845799872</x:v>
      </x:c>
      <x:c r="C20" s="106" t="n">
        <x:f>C17/C19</x:f>
        <x:v>1023.2005474460659</x:v>
      </x:c>
      <x:c r="D20" s="106" t="n">
        <x:f>D17/D19</x:f>
        <x:v>1177.0207475565824</x:v>
      </x:c>
      <x:c r="E20" s="106" t="n">
        <x:f>E17/E19</x:f>
        <x:v>1216.7965239204427</x:v>
      </x:c>
      <x:c r="F20" s="106" t="n">
        <x:f>F17/F19</x:f>
        <x:v>1245.3836279270633</x:v>
      </x:c>
      <x:c r="G20" s="106" t="n">
        <x:f>G17/G19</x:f>
        <x:v>1155.6607054187125</x:v>
      </x:c>
      <x:c r="H20" s="106" t="n">
        <x:f>H17/H19</x:f>
        <x:v>1108.8065564517892</x:v>
      </x:c>
      <x:c r="I20" s="106" t="n">
        <x:f>I17/I19</x:f>
        <x:v>1059.7323895743916</x:v>
      </x:c>
      <x:c r="J20" s="39"/>
      <x:c r="K20" s="39"/>
      <x:c r="L20" s="39"/>
      <x:c r="M20" s="39"/>
      <x:c r="N20" s="39"/>
      <x:c r="O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</x:row>
    <x:row r="23">
      <x:c r="A23" s="40" t="str">
        <x:v>Explicit forecast PV</x:v>
      </x:c>
      <x:c r="B23" s="137" t="n">
        <x:f>SUM(B20:I20)</x:f>
        <x:v>8698.575682875035</x:v>
      </x:c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</x:row>
    <x:row r="24">
      <x:c r="A24" s="42" t="str">
        <x:v>Terminal FCFF</x:v>
      </x:c>
      <x:c r="B24" s="137" t="n">
        <x:f>I14*(1+$B$6)*(1-$B$6/I15)</x:f>
        <x:v>1995.6792251829304</x:v>
      </x:c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</x:row>
    <x:row r="25">
      <x:c r="A25" s="42" t="str">
        <x:v>Terminal value</x:v>
      </x:c>
      <x:c r="B25" s="137" t="n">
        <x:f>B24/($B$5-$B$6)</x:f>
        <x:v>29174.00313381379</x:v>
      </x:c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</x:row>
    <x:row r="26">
      <x:c r="A26" s="42" t="str">
        <x:v>Terminal value PV</x:v>
      </x:c>
      <x:c r="B26" s="137" t="n">
        <x:f>B25/((1+$B$5)^7.310061601642711)</x:f>
        <x:v>15188.01373728149</x:v>
      </x:c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</x:row>
    <x:row r="27">
      <x:c r="A27" s="165" t="str">
        <x:v>Enterprise value</x:v>
      </x:c>
      <x:c r="B27" s="139" t="n">
        <x:f>B23+B26</x:f>
        <x:v>23886.589420156524</x:v>
      </x:c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</x:row>
    <x:row r="28">
      <x:c r="A28" s="42" t="str">
        <x:v>Equity value</x:v>
      </x:c>
      <x:c r="B28" s="137" t="n">
        <x:f>B27+'Model Control Panel'!$B$12+'Model Control Panel'!$B$15-'Model Control Panel'!$B$13-'Model Control Panel'!$B$14-'Model Control Panel'!$B$16</x:f>
        <x:v>22711.589420156524</x:v>
      </x:c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</x:row>
    <x:row r="29">
      <x:c r="A29" s="42" t="str">
        <x:v>Current diluted shares</x:v>
      </x:c>
      <x:c r="B29" s="137" t="n">
        <x:f>'Model Control Panel'!$B$11</x:f>
        <x:v>86.5</x:v>
      </x:c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</x:row>
    <x:row r="30">
      <x:c r="A30" s="165" t="str">
        <x:v>DCF price per share</x:v>
      </x:c>
      <x:c r="B30" s="166" t="n">
        <x:f>B28/B29</x:f>
        <x:v>262.56172740065347</x:v>
      </x:c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SOTP valuation</x:v>
      </x:c>
      <x:c r="B2" s="36"/>
      <x:c r="C2" s="36"/>
      <x:c r="D2" s="36"/>
      <x:c r="E2" s="36"/>
      <x:c r="F2" s="36"/>
      <x:c r="G2" s="36"/>
      <x:c r="H2" s="36"/>
      <x:c r="I2" s="39"/>
    </x:row>
    <x:row r="3">
      <x:c r="A3" s="38"/>
      <x:c r="B3" s="38"/>
      <x:c r="C3" s="38"/>
      <x:c r="D3" s="38"/>
      <x:c r="E3" s="38"/>
      <x:c r="F3" s="38"/>
      <x:c r="G3" s="38"/>
      <x:c r="H3" s="38"/>
      <x:c r="I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</x:row>
    <x:row r="5">
      <x:c r="A5" s="60" t="str">
        <x:v>method</x:v>
      </x:c>
      <x:c r="B5" s="61" t="str">
        <x:v>enterprise_value</x:v>
      </x:c>
      <x:c r="C5" s="61" t="str">
        <x:v>equity_value</x:v>
      </x:c>
      <x:c r="D5" s="61" t="str">
        <x:v>price_per_share</x:v>
      </x:c>
      <x:c r="E5" s="61" t="str">
        <x:v>explicit_pv</x:v>
      </x:c>
      <x:c r="F5" s="61" t="str">
        <x:v>terminal_value_pv</x:v>
      </x:c>
      <x:c r="G5" s="61" t="str">
        <x:v>terminal_value_pct_ev</x:v>
      </x:c>
      <x:c r="H5" s="61" t="str">
        <x:v>wacc</x:v>
      </x:c>
      <x:c r="I5" s="62" t="str">
        <x:v>terminal_growth</x:v>
      </x:c>
    </x:row>
    <x:row r="6">
      <x:c r="A6" s="39" t="str">
        <x:v>SOTP</x:v>
      </x:c>
      <x:c r="B6" s="39" t="n">
        <x:v>31951.065170489637</x:v>
      </x:c>
      <x:c r="C6" s="39" t="n">
        <x:v>30776.065170489637</x:v>
      </x:c>
      <x:c r="D6" s="39" t="n">
        <x:v>355.79266093051604</x:v>
      </x:c>
      <x:c r="E6" s="39"/>
      <x:c r="F6" s="39"/>
      <x:c r="G6" s="39"/>
      <x:c r="H6" s="39"/>
      <x:c r="I6" s="39"/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Relative valuation</x:v>
      </x:c>
      <x:c r="B2" s="36"/>
      <x:c r="C2" s="36"/>
      <x:c r="D2" s="36"/>
      <x:c r="E2" s="36"/>
      <x:c r="F2" s="36"/>
      <x:c r="G2" s="36"/>
      <x:c r="H2" s="36"/>
      <x:c r="I2" s="39"/>
    </x:row>
    <x:row r="3">
      <x:c r="A3" s="38"/>
      <x:c r="B3" s="38"/>
      <x:c r="C3" s="38"/>
      <x:c r="D3" s="38"/>
      <x:c r="E3" s="38"/>
      <x:c r="F3" s="38"/>
      <x:c r="G3" s="38"/>
      <x:c r="H3" s="38"/>
      <x:c r="I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</x:row>
    <x:row r="5">
      <x:c r="A5" s="60" t="str">
        <x:v>method</x:v>
      </x:c>
      <x:c r="B5" s="61" t="str">
        <x:v>enterprise_value</x:v>
      </x:c>
      <x:c r="C5" s="61" t="str">
        <x:v>equity_value</x:v>
      </x:c>
      <x:c r="D5" s="61" t="str">
        <x:v>price_per_share</x:v>
      </x:c>
      <x:c r="E5" s="61" t="str">
        <x:v>explicit_pv</x:v>
      </x:c>
      <x:c r="F5" s="61" t="str">
        <x:v>terminal_value_pv</x:v>
      </x:c>
      <x:c r="G5" s="61" t="str">
        <x:v>terminal_value_pct_ev</x:v>
      </x:c>
      <x:c r="H5" s="61" t="str">
        <x:v>wacc</x:v>
      </x:c>
      <x:c r="I5" s="62" t="str">
        <x:v>terminal_growth</x:v>
      </x:c>
    </x:row>
    <x:row r="6">
      <x:c r="A6" s="39" t="str">
        <x:v>Relative P/E</x:v>
      </x:c>
      <x:c r="B6" s="39"/>
      <x:c r="C6" s="39" t="n">
        <x:v>18542.195540465007</x:v>
      </x:c>
      <x:c r="D6" s="39" t="n">
        <x:v>214.36064208630066</x:v>
      </x:c>
      <x:c r="E6" s="39"/>
      <x:c r="F6" s="39"/>
      <x:c r="G6" s="39"/>
      <x:c r="H6" s="39"/>
      <x:c r="I6" s="39"/>
    </x:row>
    <x:row r="7">
      <x:c r="A7" s="39" t="str">
        <x:v>Relative FCF yield</x:v>
      </x:c>
      <x:c r="B7" s="39"/>
      <x:c r="C7" s="39" t="n">
        <x:v>15654.549997974935</x:v>
      </x:c>
      <x:c r="D7" s="39" t="n">
        <x:v>180.97745662398768</x:v>
      </x:c>
      <x:c r="E7" s="39"/>
      <x:c r="F7" s="39"/>
      <x:c r="G7" s="39"/>
      <x:c r="H7" s="39"/>
      <x:c r="I7" s="39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Reverse DCF</x:v>
      </x:c>
      <x:c r="B2" s="36"/>
      <x:c r="C2" s="36"/>
      <x:c r="D2" s="36"/>
      <x:c r="E2" s="36"/>
      <x:c r="F2" s="36"/>
      <x:c r="G2" s="36"/>
      <x:c r="H2" s="36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target_reference_price</x:v>
      </x:c>
      <x:c r="B5" s="61" t="str">
        <x:v>required_foot_locker_terminal_operating_margin</x:v>
      </x:c>
      <x:c r="C5" s="61" t="str">
        <x:v>base_case_terminal_foot_locker_operating_margin</x:v>
      </x:c>
      <x:c r="D5" s="61" t="str">
        <x:v>repriced_value</x:v>
      </x:c>
      <x:c r="E5" s="61" t="str">
        <x:v>solve_residual</x:v>
      </x:c>
      <x:c r="F5" s="61" t="str">
        <x:v>lower_bound</x:v>
      </x:c>
      <x:c r="G5" s="61" t="str">
        <x:v>upper_bound</x:v>
      </x:c>
      <x:c r="H5" s="62" t="str">
        <x:v>solve_status</x:v>
      </x:c>
    </x:row>
    <x:row r="6">
      <x:c r="A6" s="39" t="n">
        <x:v>136.65</x:v>
      </x:c>
      <x:c r="B6" s="39"/>
      <x:c r="C6" s="39" t="n">
        <x:v>0.03999999999999998</x:v>
      </x:c>
      <x:c r="D6" s="39"/>
      <x:c r="E6" s="39"/>
      <x:c r="F6" s="39" t="n">
        <x:v>-0.1</x:v>
      </x:c>
      <x:c r="G6" s="39" t="n">
        <x:v>0.2</x:v>
      </x:c>
      <x:c r="H6" s="39" t="str">
        <x:v>not feasible within configured bounds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Scenarios and sensitivities</x:v>
      </x:c>
      <x:c r="B2" s="36"/>
      <x:c r="C2" s="36"/>
      <x:c r="D2" s="36"/>
      <x:c r="E2" s="36"/>
      <x:c r="F2" s="36"/>
      <x:c r="G2" s="36"/>
      <x:c r="H2" s="36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scenario</x:v>
      </x:c>
      <x:c r="B5" s="61" t="str">
        <x:v>probability</x:v>
      </x:c>
      <x:c r="C5" s="61" t="str">
        <x:v>dcf_price_per_share</x:v>
      </x:c>
      <x:c r="D5" s="61" t="str">
        <x:v>expected_contribution</x:v>
      </x:c>
      <x:c r="E5" s="62" t="str">
        <x:v>upside_downside</x:v>
      </x:c>
      <x:c r="F5" s="39"/>
      <x:c r="G5" s="39"/>
      <x:c r="H5" s="39"/>
    </x:row>
    <x:row r="6">
      <x:c r="A6" s="39" t="str">
        <x:v>base</x:v>
      </x:c>
      <x:c r="B6" s="39" t="n">
        <x:v>0.5</x:v>
      </x:c>
      <x:c r="C6" s="39" t="n">
        <x:v>262.56172740065347</x:v>
      </x:c>
      <x:c r="D6" s="39" t="n">
        <x:v>131.28086370032673</x:v>
      </x:c>
      <x:c r="E6" s="39" t="n">
        <x:v>0.9214176904548368</x:v>
      </x:c>
      <x:c r="F6" s="39"/>
      <x:c r="G6" s="39"/>
      <x:c r="H6" s="39"/>
    </x:row>
    <x:row r="7">
      <x:c r="A7" s="39" t="str">
        <x:v>bull</x:v>
      </x:c>
      <x:c r="B7" s="39" t="n">
        <x:v>0.25</x:v>
      </x:c>
      <x:c r="C7" s="39" t="n">
        <x:v>298.1384511596901</x:v>
      </x:c>
      <x:c r="D7" s="39" t="n">
        <x:v>74.53461278992252</x:v>
      </x:c>
      <x:c r="E7" s="39" t="n">
        <x:v>1.1817669312820347</x:v>
      </x:c>
      <x:c r="F7" s="39"/>
      <x:c r="G7" s="39"/>
      <x:c r="H7" s="39"/>
    </x:row>
    <x:row r="8">
      <x:c r="A8" s="39" t="str">
        <x:v>bear</x:v>
      </x:c>
      <x:c r="B8" s="39" t="n">
        <x:v>0.25</x:v>
      </x:c>
      <x:c r="C8" s="39" t="n">
        <x:v>222.91143360974664</x:v>
      </x:c>
      <x:c r="D8" s="39" t="n">
        <x:v>55.72785840243666</x:v>
      </x:c>
      <x:c r="E8" s="39" t="n">
        <x:v>0.6312582042425658</x:v>
      </x:c>
      <x:c r="F8" s="39"/>
      <x:c r="G8" s="39"/>
      <x:c r="H8" s="39"/>
    </x:row>
    <x:row r="9">
      <x:c r="A9" s="39"/>
      <x:c r="B9" s="39"/>
      <x:c r="C9" s="39"/>
      <x:c r="D9" s="39"/>
      <x:c r="E9" s="39"/>
      <x:c r="F9" s="39"/>
      <x:c r="G9" s="39"/>
      <x:c r="H9" s="39"/>
    </x:row>
    <x:row r="10">
      <x:c r="A10" s="39"/>
      <x:c r="B10" s="39"/>
      <x:c r="C10" s="39"/>
      <x:c r="D10" s="39"/>
      <x:c r="E10" s="39"/>
      <x:c r="F10" s="39"/>
      <x:c r="G10" s="39"/>
      <x:c r="H10" s="39"/>
    </x:row>
    <x:row r="11">
      <x:c r="A11" s="39"/>
      <x:c r="B11" s="39"/>
      <x:c r="C11" s="39"/>
      <x:c r="D11" s="39"/>
      <x:c r="E11" s="39"/>
      <x:c r="F11" s="39"/>
      <x:c r="G11" s="39"/>
      <x:c r="H11" s="39"/>
    </x:row>
    <x:row r="12">
      <x:c r="A12" s="60" t="str">
        <x:v>wacc</x:v>
      </x:c>
      <x:c r="B12" s="61" t="str">
        <x:v>terminal_growth</x:v>
      </x:c>
      <x:c r="C12" s="61" t="str">
        <x:v>price_per_share</x:v>
      </x:c>
      <x:c r="D12" s="62" t="str">
        <x:v>upside_downside</x:v>
      </x:c>
      <x:c r="E12" s="39"/>
      <x:c r="F12" s="39"/>
      <x:c r="G12" s="39"/>
      <x:c r="H12" s="39"/>
    </x:row>
    <x:row r="13">
      <x:c r="A13" s="39" t="n">
        <x:v>0.08340608112740831</x:v>
      </x:c>
      <x:c r="B13" s="39" t="n">
        <x:v>0.02</x:v>
      </x:c>
      <x:c r="C13" s="39" t="n">
        <x:v>295.52074257048235</x:v>
      </x:c>
      <x:c r="D13" s="39" t="n">
        <x:v>1.1626106298608296</x:v>
      </x:c>
      <x:c r="E13" s="39"/>
      <x:c r="F13" s="39"/>
      <x:c r="G13" s="39"/>
      <x:c r="H13" s="39"/>
    </x:row>
    <x:row r="14">
      <x:c r="A14" s="39" t="n">
        <x:v>0.08340608112740831</x:v>
      </x:c>
      <x:c r="B14" s="39" t="n">
        <x:v>0.025</x:v>
      </x:c>
      <x:c r="C14" s="39" t="n">
        <x:v>310.2178395915956</x:v>
      </x:c>
      <x:c r="D14" s="39" t="n">
        <x:v>1.2701634803629385</x:v>
      </x:c>
      <x:c r="E14" s="39"/>
      <x:c r="F14" s="39"/>
      <x:c r="G14" s="39"/>
      <x:c r="H14" s="39"/>
    </x:row>
    <x:row r="15">
      <x:c r="A15" s="39" t="n">
        <x:v>0.08340608112740831</x:v>
      </x:c>
      <x:c r="B15" s="39" t="n">
        <x:v>0.030000000000000002</x:v>
      </x:c>
      <x:c r="C15" s="39" t="n">
        <x:v>327.59308914454294</x:v>
      </x:c>
      <x:c r="D15" s="39" t="n">
        <x:v>1.3973149589794578</x:v>
      </x:c>
      <x:c r="E15" s="39"/>
      <x:c r="F15" s="39"/>
      <x:c r="G15" s="39"/>
      <x:c r="H15" s="39"/>
    </x:row>
    <x:row r="16">
      <x:c r="A16" s="39" t="n">
        <x:v>0.09340608112740831</x:v>
      </x:c>
      <x:c r="B16" s="39" t="n">
        <x:v>0.02</x:v>
      </x:c>
      <x:c r="C16" s="39" t="n">
        <x:v>252.8528630816313</x:v>
      </x:c>
      <x:c r="D16" s="39" t="n">
        <x:v>0.850368555299168</x:v>
      </x:c>
      <x:c r="E16" s="39"/>
      <x:c r="F16" s="39"/>
      <x:c r="G16" s="39"/>
      <x:c r="H16" s="39"/>
    </x:row>
    <x:row r="17">
      <x:c r="A17" s="39" t="n">
        <x:v>0.09340608112740831</x:v>
      </x:c>
      <x:c r="B17" s="39" t="n">
        <x:v>0.025</x:v>
      </x:c>
      <x:c r="C17" s="39" t="n">
        <x:v>262.56172740065347</x:v>
      </x:c>
      <x:c r="D17" s="39" t="n">
        <x:v>0.9214176904548368</x:v>
      </x:c>
      <x:c r="E17" s="39"/>
      <x:c r="F17" s="39"/>
      <x:c r="G17" s="39"/>
      <x:c r="H17" s="39"/>
    </x:row>
    <x:row r="18">
      <x:c r="A18" s="39" t="n">
        <x:v>0.09340608112740831</x:v>
      </x:c>
      <x:c r="B18" s="39" t="n">
        <x:v>0.030000000000000002</x:v>
      </x:c>
      <x:c r="C18" s="39" t="n">
        <x:v>273.7423318769433</x:v>
      </x:c>
      <x:c r="D18" s="39" t="n">
        <x:v>1.0032369694617147</x:v>
      </x:c>
      <x:c r="E18" s="39"/>
      <x:c r="F18" s="39"/>
      <x:c r="G18" s="39"/>
      <x:c r="H18" s="39"/>
    </x:row>
    <x:row r="19">
      <x:c r="A19" s="39" t="n">
        <x:v>0.1034060811274083</x:v>
      </x:c>
      <x:c r="B19" s="39" t="n">
        <x:v>0.02</x:v>
      </x:c>
      <x:c r="C19" s="39" t="n">
        <x:v>220.5252776395284</x:v>
      </x:c>
      <x:c r="D19" s="39" t="n">
        <x:v>0.6137963969230034</x:v>
      </x:c>
      <x:c r="E19" s="39"/>
      <x:c r="F19" s="39"/>
      <x:c r="G19" s="39"/>
      <x:c r="H19" s="39"/>
    </x:row>
    <x:row r="20">
      <x:c r="A20" s="39" t="n">
        <x:v>0.1034060811274083</x:v>
      </x:c>
      <x:c r="B20" s="39" t="n">
        <x:v>0.025</x:v>
      </x:c>
      <x:c r="C20" s="39" t="n">
        <x:v>227.16745606223378</x:v>
      </x:c>
      <x:c r="D20" s="39" t="n">
        <x:v>0.6624036301663649</x:v>
      </x:c>
      <x:c r="E20" s="39"/>
      <x:c r="F20" s="39"/>
      <x:c r="G20" s="39"/>
      <x:c r="H20" s="39"/>
    </x:row>
    <x:row r="21">
      <x:c r="A21" s="39" t="n">
        <x:v>0.1034060811274083</x:v>
      </x:c>
      <x:c r="B21" s="39" t="n">
        <x:v>0.030000000000000002</x:v>
      </x:c>
      <x:c r="C21" s="39" t="n">
        <x:v>234.66528025436398</x:v>
      </x:c>
      <x:c r="D21" s="39" t="n">
        <x:v>0.7172724497209217</x:v>
      </x:c>
      <x:c r="E21" s="39"/>
      <x:c r="F21" s="39"/>
      <x:c r="G21" s="39"/>
      <x:c r="H21" s="39"/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Probabilistic valuation</x:v>
      </x:c>
      <x:c r="B2" s="36"/>
      <x:c r="C2" s="36"/>
      <x:c r="D2" s="36"/>
      <x:c r="E2" s="36"/>
      <x:c r="F2" s="36"/>
      <x:c r="G2" s="36"/>
      <x:c r="H2" s="36"/>
      <x:c r="I2" s="39"/>
      <x:c r="J2" s="39"/>
    </x:row>
    <x:row r="3">
      <x:c r="A3" s="38"/>
      <x:c r="B3" s="38"/>
      <x:c r="C3" s="38"/>
      <x:c r="D3" s="38"/>
      <x:c r="E3" s="38"/>
      <x:c r="F3" s="38"/>
      <x:c r="G3" s="38"/>
      <x:c r="H3" s="38"/>
      <x:c r="I3" s="39"/>
      <x:c r="J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</x:row>
    <x:row r="5">
      <x:c r="A5" s="60" t="str">
        <x:v>status</x:v>
      </x:c>
      <x:c r="B5" s="61" t="str">
        <x:v>iterations</x:v>
      </x:c>
      <x:c r="C5" s="61" t="str">
        <x:v>valid_draws</x:v>
      </x:c>
      <x:c r="D5" s="61" t="str">
        <x:v>invalid_draws</x:v>
      </x:c>
      <x:c r="E5" s="61" t="str">
        <x:v>mean_price</x:v>
      </x:c>
      <x:c r="F5" s="61" t="str">
        <x:v>median_price</x:v>
      </x:c>
      <x:c r="G5" s="61" t="str">
        <x:v>p10_price</x:v>
      </x:c>
      <x:c r="H5" s="61" t="str">
        <x:v>p90_price</x:v>
      </x:c>
      <x:c r="I5" s="61" t="str">
        <x:v>fraction_above_reference_price</x:v>
      </x:c>
      <x:c r="J5" s="62" t="str">
        <x:v>expected_shortfall_10pct</x:v>
      </x:c>
    </x:row>
    <x:row r="6">
      <x:c r="A6" s="39" t="str">
        <x:v>enabled</x:v>
      </x:c>
      <x:c r="B6" s="39" t="n">
        <x:v>10000</x:v>
      </x:c>
      <x:c r="C6" s="39" t="n">
        <x:v>10000</x:v>
      </x:c>
      <x:c r="D6" s="39" t="n">
        <x:v>0</x:v>
      </x:c>
      <x:c r="E6" s="39" t="n">
        <x:v>297.0522674546524</x:v>
      </x:c>
      <x:c r="F6" s="39" t="n">
        <x:v>289.03931623780863</x:v>
      </x:c>
      <x:c r="G6" s="39" t="n">
        <x:v>230.37202566006658</x:v>
      </x:c>
      <x:c r="H6" s="39" t="n">
        <x:v>373.83084540316145</x:v>
      </x:c>
      <x:c r="I6" s="39" t="n">
        <x:v>1</x:v>
      </x:c>
      <x:c r="J6" s="39" t="n">
        <x:v>213.16469319469076</x:v>
      </x:c>
    </x:row>
    <x:row r="7">
      <x:c r="A7" s="39"/>
      <x:c r="B7" s="39"/>
      <x:c r="C7" s="39"/>
      <x:c r="D7" s="39"/>
      <x:c r="E7" s="39"/>
      <x:c r="F7" s="39"/>
      <x:c r="G7" s="39"/>
      <x:c r="H7" s="39"/>
      <x:c r="I7" s="39"/>
      <x:c r="J7" s="39"/>
    </x:row>
    <x:row r="8">
      <x:c r="A8" s="39"/>
      <x:c r="B8" s="39"/>
      <x:c r="C8" s="39"/>
      <x:c r="D8" s="39"/>
      <x:c r="E8" s="39"/>
      <x:c r="F8" s="39"/>
      <x:c r="G8" s="39"/>
      <x:c r="H8" s="39"/>
      <x:c r="I8" s="39"/>
      <x:c r="J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</x:row>
    <x:row r="10">
      <x:c r="A10" s="80" t="str">
        <x:v>Convergence diagnostics</x:v>
      </x:c>
      <x:c r="B10" s="92"/>
      <x:c r="C10" s="92"/>
      <x:c r="D10" s="93"/>
      <x:c r="E10" s="39"/>
      <x:c r="F10" s="39"/>
      <x:c r="G10" s="39"/>
      <x:c r="H10" s="39"/>
      <x:c r="I10" s="39"/>
      <x:c r="J10" s="39"/>
    </x:row>
    <x:row r="11">
      <x:c r="A11" s="60" t="str">
        <x:v>iterations</x:v>
      </x:c>
      <x:c r="B11" s="61" t="str">
        <x:v>mean_price</x:v>
      </x:c>
      <x:c r="C11" s="61" t="str">
        <x:v>p10_price</x:v>
      </x:c>
      <x:c r="D11" s="62" t="str">
        <x:v>p90_price</x:v>
      </x:c>
      <x:c r="E11" s="39"/>
      <x:c r="F11" s="39"/>
      <x:c r="G11" s="39"/>
      <x:c r="H11" s="39"/>
      <x:c r="I11" s="39"/>
      <x:c r="J11" s="39"/>
    </x:row>
    <x:row r="12">
      <x:c r="A12" s="39" t="n">
        <x:v>1000</x:v>
      </x:c>
      <x:c r="B12" s="39" t="n">
        <x:v>297.20152501023586</x:v>
      </x:c>
      <x:c r="C12" s="39" t="n">
        <x:v>229.98147722117724</x:v>
      </x:c>
      <x:c r="D12" s="39" t="n">
        <x:v>370.87639262291</x:v>
      </x:c>
      <x:c r="E12" s="39"/>
      <x:c r="F12" s="39"/>
      <x:c r="G12" s="39"/>
      <x:c r="H12" s="39"/>
      <x:c r="I12" s="39"/>
      <x:c r="J12" s="39"/>
    </x:row>
    <x:row r="13">
      <x:c r="A13" s="39" t="n">
        <x:v>5000</x:v>
      </x:c>
      <x:c r="B13" s="39" t="n">
        <x:v>296.4038567626832</x:v>
      </x:c>
      <x:c r="C13" s="39" t="n">
        <x:v>229.50983449369528</x:v>
      </x:c>
      <x:c r="D13" s="39" t="n">
        <x:v>372.9161468490911</x:v>
      </x:c>
      <x:c r="E13" s="39"/>
      <x:c r="F13" s="39"/>
      <x:c r="G13" s="39"/>
      <x:c r="H13" s="39"/>
      <x:c r="I13" s="39"/>
      <x:c r="J13" s="39"/>
    </x:row>
    <x:row r="14">
      <x:c r="A14" s="39" t="n">
        <x:v>10000</x:v>
      </x:c>
      <x:c r="B14" s="39" t="n">
        <x:v>297.0522674546524</x:v>
      </x:c>
      <x:c r="C14" s="39" t="n">
        <x:v>230.37202566006658</x:v>
      </x:c>
      <x:c r="D14" s="39" t="n">
        <x:v>373.83084540316145</x:v>
      </x:c>
      <x:c r="E14" s="39"/>
      <x:c r="F14" s="39"/>
      <x:c r="G14" s="39"/>
      <x:c r="H14" s="39"/>
      <x:c r="I14" s="39"/>
      <x:c r="J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</x:row>
    <x:row r="18">
      <x:c r="A18" s="80" t="str">
        <x:v>Selected trials</x:v>
      </x:c>
      <x:c r="B18" s="92"/>
      <x:c r="C18" s="92"/>
      <x:c r="D18" s="92"/>
      <x:c r="E18" s="92"/>
      <x:c r="F18" s="92"/>
      <x:c r="G18" s="92"/>
      <x:c r="H18" s="93"/>
      <x:c r="I18" s="39"/>
      <x:c r="J18" s="39"/>
    </x:row>
    <x:row r="19">
      <x:c r="A19" s="60" t="str">
        <x:v>trial</x:v>
      </x:c>
      <x:c r="B19" s="61" t="str">
        <x:v>price_per_share</x:v>
      </x:c>
      <x:c r="C19" s="61" t="str">
        <x:v>legacy_comp_growth_delta</x:v>
      </x:c>
      <x:c r="D19" s="61" t="str">
        <x:v>foot_locker_terminal_margin</x:v>
      </x:c>
      <x:c r="E19" s="61" t="str">
        <x:v>synergy_realization_multiplier</x:v>
      </x:c>
      <x:c r="F19" s="61" t="str">
        <x:v>gross_margin_delta</x:v>
      </x:c>
      <x:c r="G19" s="61" t="str">
        <x:v>nwc_pct_delta</x:v>
      </x:c>
      <x:c r="H19" s="61" t="str">
        <x:v>wacc</x:v>
      </x:c>
      <x:c r="I19" s="62" t="str">
        <x:v>terminal_growth</x:v>
      </x:c>
      <x:c r="J19" s="39"/>
    </x:row>
    <x:row r="20">
      <x:c r="A20" s="39" t="n">
        <x:v>1</x:v>
      </x:c>
      <x:c r="B20" s="39" t="n">
        <x:v>364.506869284747</x:v>
      </x:c>
      <x:c r="C20" s="39" t="n">
        <x:v>-0.003902365278786318</x:v>
      </x:c>
      <x:c r="D20" s="39" t="n">
        <x:v>0.04786263437881351</x:v>
      </x:c>
      <x:c r="E20" s="39" t="n">
        <x:v>0.873172658577545</x:v>
      </x:c>
      <x:c r="F20" s="39" t="n">
        <x:v>0.008202617837150705</x:v>
      </x:c>
      <x:c r="G20" s="39" t="n">
        <x:v>-0.016589564791173145</x:v>
      </x:c>
      <x:c r="H20" s="39" t="n">
        <x:v>0.0763014280119272</x:v>
      </x:c>
      <x:c r="I20" s="39" t="n">
        <x:v>0.023280124124486143</x:v>
      </x:c>
      <x:c r="J20" s="39"/>
    </x:row>
    <x:row r="21">
      <x:c r="A21" s="39" t="n">
        <x:v>2</x:v>
      </x:c>
      <x:c r="B21" s="39" t="n">
        <x:v>304.08140504826326</x:v>
      </x:c>
      <x:c r="C21" s="39" t="n">
        <x:v>-0.011720685193026662</x:v>
      </x:c>
      <x:c r="D21" s="39" t="n">
        <x:v>0.03988529418594432</x:v>
      </x:c>
      <x:c r="E21" s="39" t="n">
        <x:v>1.000945588181949</x:v>
      </x:c>
      <x:c r="F21" s="39" t="n">
        <x:v>-0.0035837600520663175</x:v>
      </x:c>
      <x:c r="G21" s="39" t="n">
        <x:v>0.0012109661887585153</x:v>
      </x:c>
      <x:c r="H21" s="39" t="n">
        <x:v>0.07827567729055318</x:v>
      </x:c>
      <x:c r="I21" s="39" t="n">
        <x:v>0.02341655650331319</x:v>
      </x:c>
      <x:c r="J21" s="39"/>
    </x:row>
    <x:row r="22">
      <x:c r="A22" s="39" t="n">
        <x:v>3</x:v>
      </x:c>
      <x:c r="B22" s="39" t="n">
        <x:v>278.43924870895086</x:v>
      </x:c>
      <x:c r="C22" s="39" t="n">
        <x:v>-0.003956028135255286</x:v>
      </x:c>
      <x:c r="D22" s="39" t="n">
        <x:v>0.011827027763734857</x:v>
      </x:c>
      <x:c r="E22" s="39" t="n">
        <x:v>0.7947840346862066</x:v>
      </x:c>
      <x:c r="F22" s="39" t="n">
        <x:v>0.004727054845048378</x:v>
      </x:c>
      <x:c r="G22" s="39" t="n">
        <x:v>0.004157152381534238</x:v>
      </x:c>
      <x:c r="H22" s="39" t="n">
        <x:v>0.08153253450252111</x:v>
      </x:c>
      <x:c r="I22" s="39" t="n">
        <x:v>0.023870744008703218</x:v>
      </x:c>
      <x:c r="J22" s="39"/>
    </x:row>
    <x:row r="23">
      <x:c r="A23" s="39" t="n">
        <x:v>4</x:v>
      </x:c>
      <x:c r="B23" s="39" t="n">
        <x:v>263.8058269639302</x:v>
      </x:c>
      <x:c r="C23" s="39" t="n">
        <x:v>-0.005671561598943272</x:v>
      </x:c>
      <x:c r="D23" s="39" t="n">
        <x:v>0.0344537690899249</x:v>
      </x:c>
      <x:c r="E23" s="39" t="n">
        <x:v>1.0050147879689069</x:v>
      </x:c>
      <x:c r="F23" s="39" t="n">
        <x:v>-0.0021843139359761232</x:v>
      </x:c>
      <x:c r="G23" s="39" t="n">
        <x:v>0.009973304348227236</x:v>
      </x:c>
      <x:c r="H23" s="39" t="n">
        <x:v>0.08411466173369149</x:v>
      </x:c>
      <x:c r="I23" s="39" t="n">
        <x:v>0.01994067213863812</x:v>
      </x:c>
      <x:c r="J23" s="39"/>
    </x:row>
    <x:row r="24">
      <x:c r="A24" s="39" t="n">
        <x:v>5</x:v>
      </x:c>
      <x:c r="B24" s="39" t="n">
        <x:v>283.37721406999793</x:v>
      </x:c>
      <x:c r="C24" s="39" t="n">
        <x:v>0.00015777838088296082</x:v>
      </x:c>
      <x:c r="D24" s="39" t="n">
        <x:v>0.05309709732147691</x:v>
      </x:c>
      <x:c r="E24" s="39" t="n">
        <x:v>1.0221110753043265</x:v>
      </x:c>
      <x:c r="F24" s="39" t="n">
        <x:v>0.0017646129471828463</x:v>
      </x:c>
      <x:c r="G24" s="39" t="n">
        <x:v>0.0092336366753246</x:v>
      </x:c>
      <x:c r="H24" s="39" t="n">
        <x:v>0.09244261142978172</x:v>
      </x:c>
      <x:c r="I24" s="39" t="n">
        <x:v>0.024736177414447558</x:v>
      </x:c>
      <x:c r="J24" s="39"/>
    </x:row>
    <x:row r="25">
      <x:c r="A25" s="39" t="n">
        <x:v>6</x:v>
      </x:c>
      <x:c r="B25" s="39" t="n">
        <x:v>229.3858344987841</x:v>
      </x:c>
      <x:c r="C25" s="39" t="n">
        <x:v>0.002781263521269229</x:v>
      </x:c>
      <x:c r="D25" s="39" t="n">
        <x:v>0.02984462824983671</x:v>
      </x:c>
      <x:c r="E25" s="39" t="n">
        <x:v>0.9606058622398884</x:v>
      </x:c>
      <x:c r="F25" s="39" t="n">
        <x:v>0.004673592674668796</x:v>
      </x:c>
      <x:c r="G25" s="39" t="n">
        <x:v>-0.001273948014928475</x:v>
      </x:c>
      <x:c r="H25" s="39" t="n">
        <x:v>0.09972705433830784</x:v>
      </x:c>
      <x:c r="I25" s="39" t="n">
        <x:v>0.02165575278789315</x:v>
      </x:c>
      <x:c r="J25" s="39"/>
    </x:row>
    <x:row r="26">
      <x:c r="A26" s="39" t="n">
        <x:v>7</x:v>
      </x:c>
      <x:c r="B26" s="39" t="n">
        <x:v>246.321350253457</x:v>
      </x:c>
      <x:c r="C26" s="39" t="n">
        <x:v>-0.006149164025879168</x:v>
      </x:c>
      <x:c r="D26" s="39" t="n">
        <x:v>0.05507843015249719</x:v>
      </x:c>
      <x:c r="E26" s="39" t="n">
        <x:v>1.0005609297546447</x:v>
      </x:c>
      <x:c r="F26" s="39" t="n">
        <x:v>-0.003062629064229675</x:v>
      </x:c>
      <x:c r="G26" s="39" t="n">
        <x:v>-0.0000821426549169042</x:v>
      </x:c>
      <x:c r="H26" s="39" t="n">
        <x:v>0.09187803090661274</x:v>
      </x:c>
      <x:c r="I26" s="39" t="n">
        <x:v>0.018262900507060243</x:v>
      </x:c>
      <x:c r="J26" s="39"/>
    </x:row>
    <x:row r="27">
      <x:c r="A27" s="39" t="n">
        <x:v>8</x:v>
      </x:c>
      <x:c r="B27" s="39" t="n">
        <x:v>220.37122980804705</x:v>
      </x:c>
      <x:c r="C27" s="39" t="n">
        <x:v>-0.01874952578535969</x:v>
      </x:c>
      <x:c r="D27" s="39" t="n">
        <x:v>0.03936761847727987</x:v>
      </x:c>
      <x:c r="E27" s="39" t="n">
        <x:v>0.8568787457384881</x:v>
      </x:c>
      <x:c r="F27" s="39" t="n">
        <x:v>-0.0013987715432326792</x:v>
      </x:c>
      <x:c r="G27" s="39" t="n">
        <x:v>-0.010624081575881867</x:v>
      </x:c>
      <x:c r="H27" s="39" t="n">
        <x:v>0.09748237768461152</x:v>
      </x:c>
      <x:c r="I27" s="39" t="n">
        <x:v>0.02582500247929925</x:v>
      </x:c>
      <x:c r="J27" s="39"/>
    </x:row>
    <x:row r="28">
      <x:c r="A28" s="39" t="n">
        <x:v>9</x:v>
      </x:c>
      <x:c r="B28" s="39" t="n">
        <x:v>216.41902836185903</x:v>
      </x:c>
      <x:c r="C28" s="39" t="n">
        <x:v>-0.007444689958550352</x:v>
      </x:c>
      <x:c r="D28" s="39" t="n">
        <x:v>0.032120978089916666</x:v>
      </x:c>
      <x:c r="E28" s="39" t="n">
        <x:v>0.8820388309764094</x:v>
      </x:c>
      <x:c r="F28" s="39" t="n">
        <x:v>-0.00028000089550428106</x:v>
      </x:c>
      <x:c r="G28" s="39" t="n">
        <x:v>-0.001974105293780069</x:v>
      </x:c>
      <x:c r="H28" s="39" t="n">
        <x:v>0.09583604244465836</x:v>
      </x:c>
      <x:c r="I28" s="39" t="n">
        <x:v>0.01966498060049754</x:v>
      </x:c>
      <x:c r="J28" s="39"/>
    </x:row>
    <x:row r="29">
      <x:c r="A29" s="39" t="n">
        <x:v>10</x:v>
      </x:c>
      <x:c r="B29" s="39" t="n">
        <x:v>291.1424888663955</x:v>
      </x:c>
      <x:c r="C29" s="39" t="n">
        <x:v>0.01216013053089573</x:v>
      </x:c>
      <x:c r="D29" s="39" t="n">
        <x:v>0.03442499955166703</x:v>
      </x:c>
      <x:c r="E29" s="39" t="n">
        <x:v>0.9044713346570383</x:v>
      </x:c>
      <x:c r="F29" s="39" t="n">
        <x:v>0.005878663569410171</x:v>
      </x:c>
      <x:c r="G29" s="39" t="n">
        <x:v>0.0035163483508551946</x:v>
      </x:c>
      <x:c r="H29" s="39" t="n">
        <x:v>0.09160585034176873</x:v>
      </x:c>
      <x:c r="I29" s="39" t="n">
        <x:v>0.025363672134555475</x:v>
      </x:c>
      <x:c r="J29" s="39"/>
    </x:row>
    <x:row r="30">
      <x:c r="A30" s="39" t="n">
        <x:v>11</x:v>
      </x:c>
      <x:c r="B30" s="39" t="n">
        <x:v>228.72350276563787</x:v>
      </x:c>
      <x:c r="C30" s="39" t="n">
        <x:v>0.0004891414517984104</x:v>
      </x:c>
      <x:c r="D30" s="39" t="n">
        <x:v>0.038032981146685754</x:v>
      </x:c>
      <x:c r="E30" s="39" t="n">
        <x:v>0.9669111750661061</x:v>
      </x:c>
      <x:c r="F30" s="39" t="n">
        <x:v>0.007257461102876929</x:v>
      </x:c>
      <x:c r="G30" s="39" t="n">
        <x:v>-0.016904399301976413</x:v>
      </x:c>
      <x:c r="H30" s="39" t="n">
        <x:v>0.09703173722991851</x:v>
      </x:c>
      <x:c r="I30" s="39" t="n">
        <x:v>0.015420371203430462</x:v>
      </x:c>
      <x:c r="J30" s="39"/>
    </x:row>
    <x:row r="31">
      <x:c r="A31" s="39" t="n">
        <x:v>12</x:v>
      </x:c>
      <x:c r="B31" s="39" t="n">
        <x:v>271.55309776247435</x:v>
      </x:c>
      <x:c r="C31" s="39" t="n">
        <x:v>0.0006484135042468527</x:v>
      </x:c>
      <x:c r="D31" s="39" t="n">
        <x:v>0.04568529917231308</x:v>
      </x:c>
      <x:c r="E31" s="39" t="n">
        <x:v>1.0126558808126078</x:v>
      </x:c>
      <x:c r="F31" s="39" t="n">
        <x:v>-0.005432568281209023</x:v>
      </x:c>
      <x:c r="G31" s="39" t="n">
        <x:v>-0.004355533914784761</x:v>
      </x:c>
      <x:c r="H31" s="39" t="n">
        <x:v>0.08613379495026872</x:v>
      </x:c>
      <x:c r="I31" s="39" t="n">
        <x:v>0.020284419352787908</x:v>
      </x:c>
      <x:c r="J31" s="39"/>
    </x:row>
    <x:row r="32">
      <x:c r="A32" s="39" t="n">
        <x:v>13</x:v>
      </x:c>
      <x:c r="B32" s="39" t="n">
        <x:v>454.41376137785176</x:v>
      </x:c>
      <x:c r="C32" s="39" t="n">
        <x:v>-0.0014318887494821889</x:v>
      </x:c>
      <x:c r="D32" s="39" t="n">
        <x:v>0.06658839790084514</x:v>
      </x:c>
      <x:c r="E32" s="39" t="n">
        <x:v>1.1195631214364477</x:v>
      </x:c>
      <x:c r="F32" s="39" t="n">
        <x:v>-0.0029629350826528324</x:v>
      </x:c>
      <x:c r="G32" s="39" t="n">
        <x:v>-0.00327603336647976</x:v>
      </x:c>
      <x:c r="H32" s="39" t="n">
        <x:v>0.07216290251028484</x:v>
      </x:c>
      <x:c r="I32" s="39" t="n">
        <x:v>0.028306631058361197</x:v>
      </x:c>
      <x:c r="J32" s="39"/>
    </x:row>
    <x:row r="33">
      <x:c r="A33" s="39" t="n">
        <x:v>14</x:v>
      </x:c>
      <x:c r="B33" s="39" t="n">
        <x:v>282.36934465397434</x:v>
      </x:c>
      <x:c r="C33" s="39" t="n">
        <x:v>0.002310256150826399</x:v>
      </x:c>
      <x:c r="D33" s="39" t="n">
        <x:v>0.052346277480157924</x:v>
      </x:c>
      <x:c r="E33" s="39" t="n">
        <x:v>1.1274885044250393</x:v>
      </x:c>
      <x:c r="F33" s="39" t="n">
        <x:v>0.00328395777858055</x:v>
      </x:c>
      <x:c r="G33" s="39" t="n">
        <x:v>0.0011525825785179073</x:v>
      </x:c>
      <x:c r="H33" s="39" t="n">
        <x:v>0.09142737575575711</x:v>
      </x:c>
      <x:c r="I33" s="39" t="n">
        <x:v>0.02170672282405331</x:v>
      </x:c>
      <x:c r="J33" s="39"/>
    </x:row>
    <x:row r="34">
      <x:c r="A34" s="39" t="n">
        <x:v>15</x:v>
      </x:c>
      <x:c r="B34" s="39" t="n">
        <x:v>352.99451420527953</x:v>
      </x:c>
      <x:c r="C34" s="39" t="n">
        <x:v>0.002290893154894489</x:v>
      </x:c>
      <x:c r="D34" s="39" t="n">
        <x:v>0.06738208748575447</x:v>
      </x:c>
      <x:c r="E34" s="39" t="n">
        <x:v>0.9293330107435844</x:v>
      </x:c>
      <x:c r="F34" s="39" t="n">
        <x:v>0.0020053153371745076</x:v>
      </x:c>
      <x:c r="G34" s="39" t="n">
        <x:v>-0.012370517445759028</x:v>
      </x:c>
      <x:c r="H34" s="39" t="n">
        <x:v>0.08187329855742484</x:v>
      </x:c>
      <x:c r="I34" s="39" t="n">
        <x:v>0.02379709444486606</x:v>
      </x:c>
      <x:c r="J34" s="39"/>
    </x:row>
    <x:row r="35">
      <x:c r="A35" s="39" t="n">
        <x:v>16</x:v>
      </x:c>
      <x:c r="B35" s="39" t="n">
        <x:v>254.8054849051773</x:v>
      </x:c>
      <x:c r="C35" s="39" t="n">
        <x:v>-0.0017231475953593878</x:v>
      </x:c>
      <x:c r="D35" s="39" t="n">
        <x:v>0.034657235532144434</x:v>
      </x:c>
      <x:c r="E35" s="39" t="n">
        <x:v>0.905761949648937</x:v>
      </x:c>
      <x:c r="F35" s="39" t="n">
        <x:v>0.0016914999910155578</x:v>
      </x:c>
      <x:c r="G35" s="39" t="n">
        <x:v>0.00022462979591906759</x:v>
      </x:c>
      <x:c r="H35" s="39" t="n">
        <x:v>0.09010837462789016</x:v>
      </x:c>
      <x:c r="I35" s="39" t="n">
        <x:v>0.0212227809174437</x:v>
      </x:c>
      <x:c r="J35" s="39"/>
    </x:row>
    <x:row r="36">
      <x:c r="A36" s="39" t="n">
        <x:v>17</x:v>
      </x:c>
      <x:c r="B36" s="39" t="n">
        <x:v>262.27263498863243</x:v>
      </x:c>
      <x:c r="C36" s="39" t="n">
        <x:v>0.0007248367250290835</x:v>
      </x:c>
      <x:c r="D36" s="39" t="n">
        <x:v>0.029443706406665746</x:v>
      </x:c>
      <x:c r="E36" s="39" t="n">
        <x:v>0.8803673608949583</x:v>
      </x:c>
      <x:c r="F36" s="39" t="n">
        <x:v>0.0001668229622730676</x:v>
      </x:c>
      <x:c r="G36" s="39" t="n">
        <x:v>0.002670745880629982</x:v>
      </x:c>
      <x:c r="H36" s="39" t="n">
        <x:v>0.08362322655613941</x:v>
      </x:c>
      <x:c r="I36" s="39" t="n">
        <x:v>0.017771452035098757</x:v>
      </x:c>
      <x:c r="J36" s="39"/>
    </x:row>
    <x:row r="37">
      <x:c r="A37" s="39" t="n">
        <x:v>18</x:v>
      </x:c>
      <x:c r="B37" s="39" t="n">
        <x:v>296.27631419179136</x:v>
      </x:c>
      <x:c r="C37" s="39" t="n">
        <x:v>0.01486766661311599</x:v>
      </x:c>
      <x:c r="D37" s="39" t="n">
        <x:v>0.014785210998079425</x:v>
      </x:c>
      <x:c r="E37" s="39" t="n">
        <x:v>0.8133399549642181</x:v>
      </x:c>
      <x:c r="F37" s="39" t="n">
        <x:v>0.01836723650043855</x:v>
      </x:c>
      <x:c r="G37" s="39" t="n">
        <x:v>-0.029353568235311652</x:v>
      </x:c>
      <x:c r="H37" s="39" t="n">
        <x:v>0.09133569278997958</x:v>
      </x:c>
      <x:c r="I37" s="39" t="n">
        <x:v>0.025307619716148144</x:v>
      </x:c>
      <x:c r="J37" s="39"/>
    </x:row>
    <x:row r="38">
      <x:c r="A38" s="39" t="n">
        <x:v>19</x:v>
      </x:c>
      <x:c r="B38" s="39" t="n">
        <x:v>318.6758461113635</x:v>
      </x:c>
      <x:c r="C38" s="39" t="n">
        <x:v>0.0003126999460248451</x:v>
      </x:c>
      <x:c r="D38" s="39" t="n">
        <x:v>0.037991234791658994</x:v>
      </x:c>
      <x:c r="E38" s="39" t="n">
        <x:v>1.0021389051596168</x:v>
      </x:c>
      <x:c r="F38" s="39" t="n">
        <x:v>0.0025550703084657326</x:v>
      </x:c>
      <x:c r="G38" s="39" t="n">
        <x:v>0.004241857086020449</x:v>
      </x:c>
      <x:c r="H38" s="39" t="n">
        <x:v>0.08449607009653895</x:v>
      </x:c>
      <x:c r="I38" s="39" t="n">
        <x:v>0.027013935611644162</x:v>
      </x:c>
      <x:c r="J38" s="39"/>
    </x:row>
    <x:row r="39">
      <x:c r="A39" s="39" t="n">
        <x:v>20</x:v>
      </x:c>
      <x:c r="B39" s="39" t="n">
        <x:v>275.20552928718865</x:v>
      </x:c>
      <x:c r="C39" s="39" t="n">
        <x:v>0.004555518616631669</x:v>
      </x:c>
      <x:c r="D39" s="39" t="n">
        <x:v>0.056308091154471634</x:v>
      </x:c>
      <x:c r="E39" s="39" t="n">
        <x:v>1.0820491607688123</x:v>
      </x:c>
      <x:c r="F39" s="39" t="n">
        <x:v>0.0042469529096969775</x:v>
      </x:c>
      <x:c r="G39" s="39" t="n">
        <x:v>0.0033478801020715297</x:v>
      </x:c>
      <x:c r="H39" s="39" t="n">
        <x:v>0.09206267438012752</x:v>
      </x:c>
      <x:c r="I39" s="39" t="n">
        <x:v>0.018596724525045585</x:v>
      </x:c>
      <x:c r="J39" s="39"/>
    </x:row>
    <x:row r="40">
      <x:c r="A40" s="39" t="n">
        <x:v>21</x:v>
      </x:c>
      <x:c r="B40" s="39" t="n">
        <x:v>376.98560234766285</x:v>
      </x:c>
      <x:c r="C40" s="39" t="n">
        <x:v>-0.0013691284760876954</x:v>
      </x:c>
      <x:c r="D40" s="39" t="n">
        <x:v>0.06741808469243178</x:v>
      </x:c>
      <x:c r="E40" s="39" t="n">
        <x:v>0.804545871539188</x:v>
      </x:c>
      <x:c r="F40" s="39" t="n">
        <x:v>0.0006740787489759061</x:v>
      </x:c>
      <x:c r="G40" s="39" t="n">
        <x:v>0.02704691959228679</x:v>
      </x:c>
      <x:c r="H40" s="39" t="n">
        <x:v>0.07899514788688149</x:v>
      </x:c>
      <x:c r="I40" s="39" t="n">
        <x:v>0.026278258794942014</x:v>
      </x:c>
      <x:c r="J40" s="39"/>
    </x:row>
    <x:row r="41">
      <x:c r="A41" s="39" t="n">
        <x:v>22</x:v>
      </x:c>
      <x:c r="B41" s="39" t="n">
        <x:v>255.0575960907706</x:v>
      </x:c>
      <x:c r="C41" s="39" t="n">
        <x:v>-0.012668872189159464</x:v>
      </x:c>
      <x:c r="D41" s="39" t="n">
        <x:v>0.04317334293710206</x:v>
      </x:c>
      <x:c r="E41" s="39" t="n">
        <x:v>0.8358844223114452</x:v>
      </x:c>
      <x:c r="F41" s="39" t="n">
        <x:v>-0.0032883313336547057</x:v>
      </x:c>
      <x:c r="G41" s="39" t="n">
        <x:v>-0.0008444074572560043</x:v>
      </x:c>
      <x:c r="H41" s="39" t="n">
        <x:v>0.08777550677471023</x:v>
      </x:c>
      <x:c r="I41" s="39" t="n">
        <x:v>0.02313620310426837</x:v>
      </x:c>
      <x:c r="J41" s="39"/>
    </x:row>
    <x:row r="42">
      <x:c r="A42" s="39" t="n">
        <x:v>23</x:v>
      </x:c>
      <x:c r="B42" s="39" t="n">
        <x:v>252.63659322172856</x:v>
      </x:c>
      <x:c r="C42" s="39" t="n">
        <x:v>0.004768529098668144</x:v>
      </x:c>
      <x:c r="D42" s="39" t="n">
        <x:v>0.044007982497254516</x:v>
      </x:c>
      <x:c r="E42" s="39" t="n">
        <x:v>0.991442315263303</x:v>
      </x:c>
      <x:c r="F42" s="39" t="n">
        <x:v>-0.003615443916179097</x:v>
      </x:c>
      <x:c r="G42" s="39" t="n">
        <x:v>0.013727007383557923</x:v>
      </x:c>
      <x:c r="H42" s="39" t="n">
        <x:v>0.10092049938007175</x:v>
      </x:c>
      <x:c r="I42" s="39" t="n">
        <x:v>0.02933208351601429</x:v>
      </x:c>
      <x:c r="J42" s="39"/>
    </x:row>
    <x:row r="43">
      <x:c r="A43" s="39" t="n">
        <x:v>24</x:v>
      </x:c>
      <x:c r="B43" s="39" t="n">
        <x:v>259.6505828478525</x:v>
      </x:c>
      <x:c r="C43" s="39" t="n">
        <x:v>-0.003756756179030517</x:v>
      </x:c>
      <x:c r="D43" s="39" t="n">
        <x:v>0.024704323991938157</x:v>
      </x:c>
      <x:c r="E43" s="39" t="n">
        <x:v>0.8630620096592005</x:v>
      </x:c>
      <x:c r="F43" s="39" t="n">
        <x:v>0.0033199573719016927</x:v>
      </x:c>
      <x:c r="G43" s="39" t="n">
        <x:v>-0.0012762790321623036</x:v>
      </x:c>
      <x:c r="H43" s="39" t="n">
        <x:v>0.09067833717164848</x:v>
      </x:c>
      <x:c r="I43" s="39" t="n">
        <x:v>0.026025769189146647</x:v>
      </x:c>
      <x:c r="J43" s="39"/>
    </x:row>
    <x:row r="44">
      <x:c r="A44" s="39" t="n">
        <x:v>25</x:v>
      </x:c>
      <x:c r="B44" s="39" t="n">
        <x:v>370.1607963470634</x:v>
      </x:c>
      <x:c r="C44" s="39" t="n">
        <x:v>0.0005712665047188612</x:v>
      </x:c>
      <x:c r="D44" s="39" t="n">
        <x:v>0.015797340866988377</x:v>
      </x:c>
      <x:c r="E44" s="39" t="n">
        <x:v>0.7482315090246168</x:v>
      </x:c>
      <x:c r="F44" s="39" t="n">
        <x:v>0.010914824117772804</x:v>
      </x:c>
      <x:c r="G44" s="39" t="n">
        <x:v>0.018365432847681745</x:v>
      </x:c>
      <x:c r="H44" s="39" t="n">
        <x:v>0.07678813492771168</x:v>
      </x:c>
      <x:c r="I44" s="39" t="n">
        <x:v>0.029374743122887834</x:v>
      </x:c>
      <x:c r="J44" s="39"/>
    </x:row>
    <x:row r="45">
      <x:c r="A45" s="39" t="n">
        <x:v>26</x:v>
      </x:c>
      <x:c r="B45" s="39" t="n">
        <x:v>206.90711034238794</x:v>
      </x:c>
      <x:c r="C45" s="39" t="n">
        <x:v>-0.010438848959129247</x:v>
      </x:c>
      <x:c r="D45" s="39" t="n">
        <x:v>0.02985187163019329</x:v>
      </x:c>
      <x:c r="E45" s="39" t="n">
        <x:v>0.9620954771250937</x:v>
      </x:c>
      <x:c r="F45" s="39" t="n">
        <x:v>-0.006050371068754213</x:v>
      </x:c>
      <x:c r="G45" s="39" t="n">
        <x:v>0.0096633397684253</x:v>
      </x:c>
      <x:c r="H45" s="39" t="n">
        <x:v>0.09624928500471372</x:v>
      </x:c>
      <x:c r="I45" s="39" t="n">
        <x:v>0.021631282215960505</x:v>
      </x:c>
      <x:c r="J45" s="39"/>
    </x:row>
    <x:row r="46">
      <x:c r="A46" s="39" t="n">
        <x:v>27</x:v>
      </x:c>
      <x:c r="B46" s="39" t="n">
        <x:v>204.92987872700547</x:v>
      </x:c>
      <x:c r="C46" s="39" t="n">
        <x:v>-0.015932180502027576</x:v>
      </x:c>
      <x:c r="D46" s="39" t="n">
        <x:v>0.040602233069990966</x:v>
      </x:c>
      <x:c r="E46" s="39" t="n">
        <x:v>0.8907386328579153</x:v>
      </x:c>
      <x:c r="F46" s="39" t="n">
        <x:v>-0.012671392417497419</x:v>
      </x:c>
      <x:c r="G46" s="39" t="n">
        <x:v>0.008425405129407615</x:v>
      </x:c>
      <x:c r="H46" s="39" t="n">
        <x:v>0.09303718566205713</x:v>
      </x:c>
      <x:c r="I46" s="39" t="n">
        <x:v>0.020679757506514736</x:v>
      </x:c>
      <x:c r="J46" s="39"/>
    </x:row>
    <x:row r="47">
      <x:c r="A47" s="39" t="n">
        <x:v>28</x:v>
      </x:c>
      <x:c r="B47" s="39" t="n">
        <x:v>342.387797345555</x:v>
      </x:c>
      <x:c r="C47" s="39" t="n">
        <x:v>-0.004100052612215229</x:v>
      </x:c>
      <x:c r="D47" s="39" t="n">
        <x:v>0.037689578345217946</x:v>
      </x:c>
      <x:c r="E47" s="39" t="n">
        <x:v>0.8955855649496143</x:v>
      </x:c>
      <x:c r="F47" s="39" t="n">
        <x:v>-0.002676754212146099</x:v>
      </x:c>
      <x:c r="G47" s="39" t="n">
        <x:v>0.002038380855575835</x:v>
      </x:c>
      <x:c r="H47" s="39" t="n">
        <x:v>0.07144148935095106</x:v>
      </x:c>
      <x:c r="I47" s="39" t="n">
        <x:v>0.020950979044910233</x:v>
      </x:c>
      <x:c r="J47" s="39"/>
    </x:row>
    <x:row r="48">
      <x:c r="A48" s="39" t="n">
        <x:v>29</x:v>
      </x:c>
      <x:c r="B48" s="39" t="n">
        <x:v>359.8921244472922</x:v>
      </x:c>
      <x:c r="C48" s="39" t="n">
        <x:v>-0.01621643314182435</x:v>
      </x:c>
      <x:c r="D48" s="39" t="n">
        <x:v>0.036865908428179966</x:v>
      </x:c>
      <x:c r="E48" s="39" t="n">
        <x:v>0.8476721098671982</x:v>
      </x:c>
      <x:c r="F48" s="39" t="n">
        <x:v>0.0009098464355311194</x:v>
      </x:c>
      <x:c r="G48" s="39" t="n">
        <x:v>-0.006376561763070851</x:v>
      </x:c>
      <x:c r="H48" s="39" t="n">
        <x:v>0.0733981327578363</x:v>
      </x:c>
      <x:c r="I48" s="39" t="n">
        <x:v>0.027616729668176264</x:v>
      </x:c>
      <x:c r="J48" s="39"/>
    </x:row>
    <x:row r="49">
      <x:c r="A49" s="39" t="n">
        <x:v>30</x:v>
      </x:c>
      <x:c r="B49" s="39" t="n">
        <x:v>363.65672803079354</x:v>
      </x:c>
      <x:c r="C49" s="39" t="n">
        <x:v>-0.008493789041181872</x:v>
      </x:c>
      <x:c r="D49" s="39" t="n">
        <x:v>0.040065624916418074</x:v>
      </x:c>
      <x:c r="E49" s="39" t="n">
        <x:v>0.9946587837092833</x:v>
      </x:c>
      <x:c r="F49" s="39" t="n">
        <x:v>-0.004174422011420271</x:v>
      </x:c>
      <x:c r="G49" s="39" t="n">
        <x:v>-0.008108776706845296</x:v>
      </x:c>
      <x:c r="H49" s="39" t="n">
        <x:v>0.07558667535385312</x:v>
      </x:c>
      <x:c r="I49" s="39" t="n">
        <x:v>0.028986607619522556</x:v>
      </x:c>
      <x:c r="J49" s="39"/>
    </x:row>
    <x:row r="50">
      <x:c r="A50" s="39" t="n">
        <x:v>31</x:v>
      </x:c>
      <x:c r="B50" s="39" t="n">
        <x:v>369.451820463677</x:v>
      </x:c>
      <x:c r="C50" s="39" t="n">
        <x:v>0.015169795474252235</x:v>
      </x:c>
      <x:c r="D50" s="39" t="n">
        <x:v>0.04881413911095623</x:v>
      </x:c>
      <x:c r="E50" s="39" t="n">
        <x:v>0.8732286322439132</x:v>
      </x:c>
      <x:c r="F50" s="39" t="n">
        <x:v>0.009627829115402062</x:v>
      </x:c>
      <x:c r="G50" s="39" t="n">
        <x:v>0.006036214694405698</x:v>
      </x:c>
      <x:c r="H50" s="39" t="n">
        <x:v>0.08702111687244553</x:v>
      </x:c>
      <x:c r="I50" s="39" t="n">
        <x:v>0.029887989754088174</x:v>
      </x:c>
      <x:c r="J50" s="39"/>
    </x:row>
    <x:row r="51">
      <x:c r="A51" s="39" t="n">
        <x:v>32</x:v>
      </x:c>
      <x:c r="B51" s="39" t="n">
        <x:v>279.9706771106212</x:v>
      </x:c>
      <x:c r="C51" s="39" t="n">
        <x:v>0.013639695956582742</x:v>
      </x:c>
      <x:c r="D51" s="39" t="n">
        <x:v>0.048833303415142526</x:v>
      </x:c>
      <x:c r="E51" s="39" t="n">
        <x:v>1.0448420354023507</x:v>
      </x:c>
      <x:c r="F51" s="39" t="n">
        <x:v>-0.00816718708334213</x:v>
      </x:c>
      <x:c r="G51" s="39" t="n">
        <x:v>0.000136653196615915</x:v>
      </x:c>
      <x:c r="H51" s="39" t="n">
        <x:v>0.09111816399803999</x:v>
      </x:c>
      <x:c r="I51" s="39" t="n">
        <x:v>0.02362008961354433</x:v>
      </x:c>
      <x:c r="J51" s="39"/>
    </x:row>
    <x:row r="52">
      <x:c r="A52" s="39" t="n">
        <x:v>33</x:v>
      </x:c>
      <x:c r="B52" s="39" t="n">
        <x:v>330.68601178467253</x:v>
      </x:c>
      <x:c r="C52" s="39" t="n">
        <x:v>0.0008157423802945538</x:v>
      </x:c>
      <x:c r="D52" s="39" t="n">
        <x:v>0.045389168467264346</x:v>
      </x:c>
      <x:c r="E52" s="39" t="n">
        <x:v>1.049794606163303</x:v>
      </x:c>
      <x:c r="F52" s="39" t="n">
        <x:v>0.006719084282770823</x:v>
      </x:c>
      <x:c r="G52" s="39" t="n">
        <x:v>0.014636165743451708</x:v>
      </x:c>
      <x:c r="H52" s="39" t="n">
        <x:v>0.08388990722981866</x:v>
      </x:c>
      <x:c r="I52" s="39" t="n">
        <x:v>0.024899391732690564</x:v>
      </x:c>
      <x:c r="J52" s="39"/>
    </x:row>
    <x:row r="53">
      <x:c r="A53" s="39" t="n">
        <x:v>34</x:v>
      </x:c>
      <x:c r="B53" s="39" t="n">
        <x:v>302.0231126959457</x:v>
      </x:c>
      <x:c r="C53" s="39" t="n">
        <x:v>-0.00828726376741421</x:v>
      </x:c>
      <x:c r="D53" s="39" t="n">
        <x:v>0.04800147788705399</x:v>
      </x:c>
      <x:c r="E53" s="39" t="n">
        <x:v>0.9504289401332262</x:v>
      </x:c>
      <x:c r="F53" s="39" t="n">
        <x:v>-0.0107429246896257</x:v>
      </x:c>
      <x:c r="G53" s="39" t="n">
        <x:v>0.005867786891718205</x:v>
      </x:c>
      <x:c r="H53" s="39" t="n">
        <x:v>0.08609598376669199</x:v>
      </x:c>
      <x:c r="I53" s="39" t="n">
        <x:v>0.03153152003571541</x:v>
      </x:c>
      <x:c r="J53" s="39"/>
    </x:row>
    <x:row r="54">
      <x:c r="A54" s="39" t="n">
        <x:v>35</x:v>
      </x:c>
      <x:c r="B54" s="39" t="n">
        <x:v>329.12824708381197</x:v>
      </x:c>
      <x:c r="C54" s="39" t="n">
        <x:v>-0.005337609765053116</x:v>
      </x:c>
      <x:c r="D54" s="39" t="n">
        <x:v>0.028925076170754953</x:v>
      </x:c>
      <x:c r="E54" s="39" t="n">
        <x:v>0.8832453116572619</x:v>
      </x:c>
      <x:c r="F54" s="39" t="n">
        <x:v>-0.0007042885588759595</x:v>
      </x:c>
      <x:c r="G54" s="39" t="n">
        <x:v>0.0017170065217888277</x:v>
      </x:c>
      <x:c r="H54" s="39" t="n">
        <x:v>0.07597835381646796</x:v>
      </x:c>
      <x:c r="I54" s="39" t="n">
        <x:v>0.025251552273544083</x:v>
      </x:c>
      <x:c r="J54" s="39"/>
    </x:row>
    <x:row r="55">
      <x:c r="A55" s="39" t="n">
        <x:v>36</x:v>
      </x:c>
      <x:c r="B55" s="39" t="n">
        <x:v>225.95666494509825</x:v>
      </x:c>
      <x:c r="C55" s="39" t="n">
        <x:v>0.0008214760676376389</x:v>
      </x:c>
      <x:c r="D55" s="39" t="n">
        <x:v>0.03790006275124369</x:v>
      </x:c>
      <x:c r="E55" s="39" t="n">
        <x:v>0.7982858893091727</x:v>
      </x:c>
      <x:c r="F55" s="39" t="n">
        <x:v>-0.00859898382420829</x:v>
      </x:c>
      <x:c r="G55" s="39" t="n">
        <x:v>-0.0030960215110030866</x:v>
      </x:c>
      <x:c r="H55" s="39" t="n">
        <x:v>0.09333423197355273</x:v>
      </x:c>
      <x:c r="I55" s="39" t="n">
        <x:v>0.02025004151756331</x:v>
      </x:c>
      <x:c r="J55" s="39"/>
    </x:row>
    <x:row r="56">
      <x:c r="A56" s="39" t="n">
        <x:v>37</x:v>
      </x:c>
      <x:c r="B56" s="39" t="n">
        <x:v>371.83421763361025</x:v>
      </x:c>
      <x:c r="C56" s="39" t="n">
        <x:v>0.00242877516853709</x:v>
      </x:c>
      <x:c r="D56" s="39" t="n">
        <x:v>0.06329217125159206</x:v>
      </x:c>
      <x:c r="E56" s="39" t="n">
        <x:v>0.9370329606100164</x:v>
      </x:c>
      <x:c r="F56" s="39" t="n">
        <x:v>0.0058767948812039105</x:v>
      </x:c>
      <x:c r="G56" s="39" t="n">
        <x:v>-0.011605525777849247</x:v>
      </x:c>
      <x:c r="H56" s="39" t="n">
        <x:v>0.07564925608306688</x:v>
      </x:c>
      <x:c r="I56" s="39" t="n">
        <x:v>0.01960510346542061</x:v>
      </x:c>
      <x:c r="J56" s="39"/>
    </x:row>
    <x:row r="57">
      <x:c r="A57" s="39" t="n">
        <x:v>38</x:v>
      </x:c>
      <x:c r="B57" s="39" t="n">
        <x:v>255.12188436515578</x:v>
      </x:c>
      <x:c r="C57" s="39" t="n">
        <x:v>-0.003622472968175833</x:v>
      </x:c>
      <x:c r="D57" s="39" t="n">
        <x:v>0.06898069082789789</x:v>
      </x:c>
      <x:c r="E57" s="39" t="n">
        <x:v>1.0393911505710443</x:v>
      </x:c>
      <x:c r="F57" s="39" t="n">
        <x:v>-0.008395571649458802</x:v>
      </x:c>
      <x:c r="G57" s="39" t="n">
        <x:v>-0.0030084303318873716</x:v>
      </x:c>
      <x:c r="H57" s="39" t="n">
        <x:v>0.09175963059651435</x:v>
      </x:c>
      <x:c r="I57" s="39" t="n">
        <x:v>0.018277643212204802</x:v>
      </x:c>
      <x:c r="J57" s="39"/>
    </x:row>
    <x:row r="58">
      <x:c r="A58" s="39" t="n">
        <x:v>39</x:v>
      </x:c>
      <x:c r="B58" s="39" t="n">
        <x:v>251.1830491240428</x:v>
      </x:c>
      <x:c r="C58" s="39" t="n">
        <x:v>0.008002110181930512</x:v>
      </x:c>
      <x:c r="D58" s="39" t="n">
        <x:v>0.03719930479840086</x:v>
      </x:c>
      <x:c r="E58" s="39" t="n">
        <x:v>0.853071398589012</x:v>
      </x:c>
      <x:c r="F58" s="39" t="n">
        <x:v>-0.010748321475403314</x:v>
      </x:c>
      <x:c r="G58" s="39" t="n">
        <x:v>0.024524347975928975</x:v>
      </x:c>
      <x:c r="H58" s="39" t="n">
        <x:v>0.09558564009728558</x:v>
      </x:c>
      <x:c r="I58" s="39" t="n">
        <x:v>0.0283752110905137</x:v>
      </x:c>
      <x:c r="J58" s="39"/>
    </x:row>
    <x:row r="59">
      <x:c r="A59" s="39" t="n">
        <x:v>40</x:v>
      </x:c>
      <x:c r="B59" s="39" t="n">
        <x:v>277.3615915449424</x:v>
      </x:c>
      <x:c r="C59" s="39" t="n">
        <x:v>0.003318142830774697</x:v>
      </x:c>
      <x:c r="D59" s="39" t="n">
        <x:v>0.04648855678467967</x:v>
      </x:c>
      <x:c r="E59" s="39" t="n">
        <x:v>0.9448324678224689</x:v>
      </x:c>
      <x:c r="F59" s="39" t="n">
        <x:v>-0.00022807273485941551</x:v>
      </x:c>
      <x:c r="G59" s="39" t="n">
        <x:v>0.01884096162292251</x:v>
      </x:c>
      <x:c r="H59" s="39" t="n">
        <x:v>0.09012437642986806</x:v>
      </x:c>
      <x:c r="I59" s="39" t="n">
        <x:v>0.02280048222624606</x:v>
      </x:c>
      <x:c r="J59" s="39"/>
    </x:row>
    <x:row r="60">
      <x:c r="A60" s="39" t="n">
        <x:v>41</x:v>
      </x:c>
      <x:c r="B60" s="39" t="n">
        <x:v>297.15508882520214</x:v>
      </x:c>
      <x:c r="C60" s="39" t="n">
        <x:v>-0.011272409026225921</x:v>
      </x:c>
      <x:c r="D60" s="39" t="n">
        <x:v>0.06128791974675773</x:v>
      </x:c>
      <x:c r="E60" s="39" t="n">
        <x:v>0.8611920205669215</x:v>
      </x:c>
      <x:c r="F60" s="39" t="n">
        <x:v>-0.004237142946590811</x:v>
      </x:c>
      <x:c r="G60" s="39" t="n">
        <x:v>0.0008692326257649226</x:v>
      </x:c>
      <x:c r="H60" s="39" t="n">
        <x:v>0.08653418670342904</x:v>
      </x:c>
      <x:c r="I60" s="39" t="n">
        <x:v>0.026437714192223433</x:v>
      </x:c>
      <x:c r="J60" s="39"/>
    </x:row>
    <x:row r="61">
      <x:c r="A61" s="39" t="n">
        <x:v>42</x:v>
      </x:c>
      <x:c r="B61" s="39" t="n">
        <x:v>329.06728330395504</x:v>
      </x:c>
      <x:c r="C61" s="39" t="n">
        <x:v>0.005826420644079888</x:v>
      </x:c>
      <x:c r="D61" s="39" t="n">
        <x:v>0.03579974644699299</x:v>
      </x:c>
      <x:c r="E61" s="39" t="n">
        <x:v>0.8383546374942646</x:v>
      </x:c>
      <x:c r="F61" s="39" t="n">
        <x:v>-0.0013997351475803072</x:v>
      </x:c>
      <x:c r="G61" s="39" t="n">
        <x:v>-0.00333856080384734</x:v>
      </x:c>
      <x:c r="H61" s="39" t="n">
        <x:v>0.07745609079254817</x:v>
      </x:c>
      <x:c r="I61" s="39" t="n">
        <x:v>0.02264308806226205</x:v>
      </x:c>
      <x:c r="J61" s="39"/>
    </x:row>
    <x:row r="62">
      <x:c r="A62" s="39" t="n">
        <x:v>43</x:v>
      </x:c>
      <x:c r="B62" s="39" t="n">
        <x:v>257.2058389720113</x:v>
      </x:c>
      <x:c r="C62" s="39" t="n">
        <x:v>-0.002243471655125187</x:v>
      </x:c>
      <x:c r="D62" s="39" t="n">
        <x:v>0.042564737787874264</x:v>
      </x:c>
      <x:c r="E62" s="39" t="n">
        <x:v>0.8796210066310846</x:v>
      </x:c>
      <x:c r="F62" s="39" t="n">
        <x:v>-0.0037793183019286672</x:v>
      </x:c>
      <x:c r="G62" s="39" t="n">
        <x:v>0.002031613940482539</x:v>
      </x:c>
      <x:c r="H62" s="39" t="n">
        <x:v>0.08907222937589222</x:v>
      </x:c>
      <x:c r="I62" s="39" t="n">
        <x:v>0.02156091342340108</x:v>
      </x:c>
      <x:c r="J62" s="39"/>
    </x:row>
    <x:row r="63">
      <x:c r="A63" s="39" t="n">
        <x:v>44</x:v>
      </x:c>
      <x:c r="B63" s="39" t="n">
        <x:v>328.81388004652973</x:v>
      </x:c>
      <x:c r="C63" s="39" t="n">
        <x:v>0.01356169822293164</x:v>
      </x:c>
      <x:c r="D63" s="39" t="n">
        <x:v>0.06195223630731744</x:v>
      </x:c>
      <x:c r="E63" s="39" t="n">
        <x:v>1.0509031709659185</x:v>
      </x:c>
      <x:c r="F63" s="39" t="n">
        <x:v>0.0014722415926894696</x:v>
      </x:c>
      <x:c r="G63" s="39" t="n">
        <x:v>0.02231457559520295</x:v>
      </x:c>
      <x:c r="H63" s="39" t="n">
        <x:v>0.09238683478910835</x:v>
      </x:c>
      <x:c r="I63" s="39" t="n">
        <x:v>0.028418482395753224</x:v>
      </x:c>
      <x:c r="J63" s="39"/>
    </x:row>
    <x:row r="64">
      <x:c r="A64" s="39" t="n">
        <x:v>45</x:v>
      </x:c>
      <x:c r="B64" s="39" t="n">
        <x:v>208.88356821008716</x:v>
      </x:c>
      <x:c r="C64" s="39" t="n">
        <x:v>-0.0023527638811205887</x:v>
      </x:c>
      <x:c r="D64" s="39" t="n">
        <x:v>0.03619419213590392</x:v>
      </x:c>
      <x:c r="E64" s="39" t="n">
        <x:v>0.9066113580548629</x:v>
      </x:c>
      <x:c r="F64" s="39" t="n">
        <x:v>-0.006521232994619749</x:v>
      </x:c>
      <x:c r="G64" s="39" t="n">
        <x:v>-0.003972303231486896</x:v>
      </x:c>
      <x:c r="H64" s="39" t="n">
        <x:v>0.10295298118120724</x:v>
      </x:c>
      <x:c r="I64" s="39" t="n">
        <x:v>0.024540759027671274</x:v>
      </x:c>
      <x:c r="J64" s="39"/>
    </x:row>
    <x:row r="65">
      <x:c r="A65" s="39" t="n">
        <x:v>46</x:v>
      </x:c>
      <x:c r="B65" s="39" t="n">
        <x:v>418.9622171282337</x:v>
      </x:c>
      <x:c r="C65" s="39" t="n">
        <x:v>-0.002396126323778072</x:v>
      </x:c>
      <x:c r="D65" s="39" t="n">
        <x:v>0.06481328419705377</x:v>
      </x:c>
      <x:c r="E65" s="39" t="n">
        <x:v>0.9802401400040779</x:v>
      </x:c>
      <x:c r="F65" s="39" t="n">
        <x:v>-0.00041517008914672415</x:v>
      </x:c>
      <x:c r="G65" s="39" t="n">
        <x:v>0.009251887492582388</x:v>
      </x:c>
      <x:c r="H65" s="39" t="n">
        <x:v>0.07795843735502857</x:v>
      </x:c>
      <x:c r="I65" s="39" t="n">
        <x:v>0.030874455533944925</x:v>
      </x:c>
      <x:c r="J65" s="39"/>
    </x:row>
    <x:row r="66">
      <x:c r="A66" s="39" t="n">
        <x:v>47</x:v>
      </x:c>
      <x:c r="B66" s="39" t="n">
        <x:v>288.2112515134718</x:v>
      </x:c>
      <x:c r="C66" s="39" t="n">
        <x:v>-0.002172439174103649</x:v>
      </x:c>
      <x:c r="D66" s="39" t="n">
        <x:v>0.04379907107321264</x:v>
      </x:c>
      <x:c r="E66" s="39" t="n">
        <x:v>1.044870281226776</x:v>
      </x:c>
      <x:c r="F66" s="39" t="n">
        <x:v>-0.0018174210437496743</x:v>
      </x:c>
      <x:c r="G66" s="39" t="n">
        <x:v>-0.0016109705940359567</x:v>
      </x:c>
      <x:c r="H66" s="39" t="n">
        <x:v>0.09000139413547288</x:v>
      </x:c>
      <x:c r="I66" s="39" t="n">
        <x:v>0.02778844783410297</x:v>
      </x:c>
      <x:c r="J66" s="39"/>
    </x:row>
    <x:row r="67">
      <x:c r="A67" s="39" t="n">
        <x:v>48</x:v>
      </x:c>
      <x:c r="B67" s="39" t="n">
        <x:v>250.14290594550286</x:v>
      </x:c>
      <x:c r="C67" s="39" t="n">
        <x:v>0.0057039007230905575</x:v>
      </x:c>
      <x:c r="D67" s="39" t="n">
        <x:v>0.04166243333479768</x:v>
      </x:c>
      <x:c r="E67" s="39" t="n">
        <x:v>0.9630423639352228</x:v>
      </x:c>
      <x:c r="F67" s="39" t="n">
        <x:v>0.005004570398806478</x:v>
      </x:c>
      <x:c r="G67" s="39" t="n">
        <x:v>-0.013360732936651245</x:v>
      </x:c>
      <x:c r="H67" s="39" t="n">
        <x:v>0.09823785647077941</x:v>
      </x:c>
      <x:c r="I67" s="39" t="n">
        <x:v>0.021944452863685276</x:v>
      </x:c>
      <x:c r="J67" s="39"/>
    </x:row>
    <x:row r="68">
      <x:c r="A68" s="39" t="n">
        <x:v>49</x:v>
      </x:c>
      <x:c r="B68" s="39" t="n">
        <x:v>238.91261657102683</x:v>
      </x:c>
      <x:c r="C68" s="39" t="n">
        <x:v>-0.003282412747317248</x:v>
      </x:c>
      <x:c r="D68" s="39" t="n">
        <x:v>0.030008551171789962</x:v>
      </x:c>
      <x:c r="E68" s="39" t="n">
        <x:v>0.8692034732019349</x:v>
      </x:c>
      <x:c r="F68" s="39" t="n">
        <x:v>-0.004211973065259665</x:v>
      </x:c>
      <x:c r="G68" s="39" t="n">
        <x:v>0.00979409079771467</x:v>
      </x:c>
      <x:c r="H68" s="39" t="n">
        <x:v>0.09113624626545382</x:v>
      </x:c>
      <x:c r="I68" s="39" t="n">
        <x:v>0.023059055106294093</x:v>
      </x:c>
      <x:c r="J68" s="39"/>
    </x:row>
    <x:row r="69">
      <x:c r="A69" s="39" t="n">
        <x:v>50</x:v>
      </x:c>
      <x:c r="B69" s="39" t="n">
        <x:v>325.2808609187294</x:v>
      </x:c>
      <x:c r="C69" s="39" t="n">
        <x:v>0.006836971804659019</x:v>
      </x:c>
      <x:c r="D69" s="39" t="n">
        <x:v>0.04436919490231494</x:v>
      </x:c>
      <x:c r="E69" s="39" t="n">
        <x:v>0.8080755546315578</x:v>
      </x:c>
      <x:c r="F69" s="39" t="n">
        <x:v>-0.003156101578462233</x:v>
      </x:c>
      <x:c r="G69" s="39" t="n">
        <x:v>0.0043414517677456</x:v>
      </x:c>
      <x:c r="H69" s="39" t="n">
        <x:v>0.08242851667599116</x:v>
      </x:c>
      <x:c r="I69" s="39" t="n">
        <x:v>0.025859334733087214</x:v>
      </x:c>
      <x:c r="J69" s="39"/>
    </x:row>
    <x:row r="70">
      <x:c r="A70" s="39" t="n">
        <x:v>51</x:v>
      </x:c>
      <x:c r="B70" s="39" t="n">
        <x:v>213.5929528498589</x:v>
      </x:c>
      <x:c r="C70" s="39" t="n">
        <x:v>-0.02161526513150932</x:v>
      </x:c>
      <x:c r="D70" s="39" t="n">
        <x:v>0.06019391716817335</x:v>
      </x:c>
      <x:c r="E70" s="39" t="n">
        <x:v>1.124377562047042</x:v>
      </x:c>
      <x:c r="F70" s="39" t="n">
        <x:v>-0.010100869277195638</x:v>
      </x:c>
      <x:c r="G70" s="39" t="n">
        <x:v>-0.00208920859542373</x:v>
      </x:c>
      <x:c r="H70" s="39" t="n">
        <x:v>0.09714268710991195</x:v>
      </x:c>
      <x:c r="I70" s="39" t="n">
        <x:v>0.02071943773528165</x:v>
      </x:c>
      <x:c r="J70" s="39"/>
    </x:row>
    <x:row r="71">
      <x:c r="A71" s="39" t="n">
        <x:v>52</x:v>
      </x:c>
      <x:c r="B71" s="39" t="n">
        <x:v>238.17070837629657</x:v>
      </x:c>
      <x:c r="C71" s="39" t="n">
        <x:v>0.006817402404932597</x:v>
      </x:c>
      <x:c r="D71" s="39" t="n">
        <x:v>0.03901940118474455</x:v>
      </x:c>
      <x:c r="E71" s="39" t="n">
        <x:v>0.8382263047091596</x:v>
      </x:c>
      <x:c r="F71" s="39" t="n">
        <x:v>-0.002558381593112179</x:v>
      </x:c>
      <x:c r="G71" s="39" t="n">
        <x:v>-0.007850181771534612</x:v>
      </x:c>
      <x:c r="H71" s="39" t="n">
        <x:v>0.09834877745079916</x:v>
      </x:c>
      <x:c r="I71" s="39" t="n">
        <x:v>0.02332809834521942</x:v>
      </x:c>
      <x:c r="J71" s="39"/>
    </x:row>
    <x:row r="72">
      <x:c r="A72" s="39" t="n">
        <x:v>53</x:v>
      </x:c>
      <x:c r="B72" s="39" t="n">
        <x:v>310.87754257399087</x:v>
      </x:c>
      <x:c r="C72" s="39" t="n">
        <x:v>0.005390998290495396</x:v>
      </x:c>
      <x:c r="D72" s="39" t="n">
        <x:v>0.03162183520110003</x:v>
      </x:c>
      <x:c r="E72" s="39" t="n">
        <x:v>1.0497448125216693</x:v>
      </x:c>
      <x:c r="F72" s="39" t="n">
        <x:v>0.00026663150712891967</x:v>
      </x:c>
      <x:c r="G72" s="39" t="n">
        <x:v>-0.009869144455797594</x:v>
      </x:c>
      <x:c r="H72" s="39" t="n">
        <x:v>0.08256053408069629</x:v>
      </x:c>
      <x:c r="I72" s="39" t="n">
        <x:v>0.02424867396344244</x:v>
      </x:c>
      <x:c r="J72" s="39"/>
    </x:row>
    <x:row r="73">
      <x:c r="A73" s="39" t="n">
        <x:v>54</x:v>
      </x:c>
      <x:c r="B73" s="39" t="n">
        <x:v>259.60538219991264</x:v>
      </x:c>
      <x:c r="C73" s="39" t="n">
        <x:v>0.0017897217430725284</x:v>
      </x:c>
      <x:c r="D73" s="39" t="n">
        <x:v>0.03525446019980119</x:v>
      </x:c>
      <x:c r="E73" s="39" t="n">
        <x:v>0.909360735787981</x:v>
      </x:c>
      <x:c r="F73" s="39" t="n">
        <x:v>-0.006945681751554535</x:v>
      </x:c>
      <x:c r="G73" s="39" t="n">
        <x:v>-0.013235349562197761</x:v>
      </x:c>
      <x:c r="H73" s="39" t="n">
        <x:v>0.0881481945717901</x:v>
      </x:c>
      <x:c r="I73" s="39" t="n">
        <x:v>0.023210453711414974</x:v>
      </x:c>
      <x:c r="J73" s="39"/>
    </x:row>
    <x:row r="74">
      <x:c r="A74" s="39" t="n">
        <x:v>55</x:v>
      </x:c>
      <x:c r="B74" s="39" t="n">
        <x:v>233.37963558071286</x:v>
      </x:c>
      <x:c r="C74" s="39" t="n">
        <x:v>-0.003718777249702944</x:v>
      </x:c>
      <x:c r="D74" s="39" t="n">
        <x:v>0.023582594177173476</x:v>
      </x:c>
      <x:c r="E74" s="39" t="n">
        <x:v>1.0047995922835002</x:v>
      </x:c>
      <x:c r="F74" s="39" t="n">
        <x:v>-0.0061582017587543045</x:v>
      </x:c>
      <x:c r="G74" s="39" t="n">
        <x:v>-0.0167206272615602</x:v>
      </x:c>
      <x:c r="H74" s="39" t="n">
        <x:v>0.09264974564207297</x:v>
      </x:c>
      <x:c r="I74" s="39" t="n">
        <x:v>0.02541644626680281</x:v>
      </x:c>
      <x:c r="J74" s="39"/>
    </x:row>
    <x:row r="75">
      <x:c r="A75" s="39" t="n">
        <x:v>56</x:v>
      </x:c>
      <x:c r="B75" s="39" t="n">
        <x:v>339.21783737216606</x:v>
      </x:c>
      <x:c r="C75" s="39" t="n">
        <x:v>0.00975447253110605</x:v>
      </x:c>
      <x:c r="D75" s="39" t="n">
        <x:v>0.04096503915284456</x:v>
      </x:c>
      <x:c r="E75" s="39" t="n">
        <x:v>0.8923754974769318</x:v>
      </x:c>
      <x:c r="F75" s="39" t="n">
        <x:v>0.001210325060397284</x:v>
      </x:c>
      <x:c r="G75" s="39" t="n">
        <x:v>-0.0014205637737020296</x:v>
      </x:c>
      <x:c r="H75" s="39" t="n">
        <x:v>0.08139821032411164</x:v>
      </x:c>
      <x:c r="I75" s="39" t="n">
        <x:v>0.025052188061739217</x:v>
      </x:c>
      <x:c r="J75" s="39"/>
    </x:row>
    <x:row r="76">
      <x:c r="A76" s="39" t="n">
        <x:v>57</x:v>
      </x:c>
      <x:c r="B76" s="39" t="n">
        <x:v>349.4015744874578</x:v>
      </x:c>
      <x:c r="C76" s="39" t="n">
        <x:v>0.007042056521725331</x:v>
      </x:c>
      <x:c r="D76" s="39" t="n">
        <x:v>0.060675752561624906</x:v>
      </x:c>
      <x:c r="E76" s="39" t="n">
        <x:v>0.714812610855845</x:v>
      </x:c>
      <x:c r="F76" s="39" t="n">
        <x:v>-0.00123433888333604</x:v>
      </x:c>
      <x:c r="G76" s="39" t="n">
        <x:v>-0.01070443360938828</x:v>
      </x:c>
      <x:c r="H76" s="39" t="n">
        <x:v>0.08228727577952828</x:v>
      </x:c>
      <x:c r="I76" s="39" t="n">
        <x:v>0.025864672426059693</x:v>
      </x:c>
      <x:c r="J76" s="39"/>
    </x:row>
    <x:row r="77">
      <x:c r="A77" s="39" t="n">
        <x:v>58</x:v>
      </x:c>
      <x:c r="B77" s="39" t="n">
        <x:v>362.919309768261</x:v>
      </x:c>
      <x:c r="C77" s="39" t="n">
        <x:v>0.0032010742148888723</x:v>
      </x:c>
      <x:c r="D77" s="39" t="n">
        <x:v>0.05441409537127495</x:v>
      </x:c>
      <x:c r="E77" s="39" t="n">
        <x:v>1.0372648298174099</x:v>
      </x:c>
      <x:c r="F77" s="39" t="n">
        <x:v>0.00430389426423513</x:v>
      </x:c>
      <x:c r="G77" s="39" t="n">
        <x:v>-0.001784833392657034</x:v>
      </x:c>
      <x:c r="H77" s="39" t="n">
        <x:v>0.08256956681211919</x:v>
      </x:c>
      <x:c r="I77" s="39" t="n">
        <x:v>0.027247399797528545</x:v>
      </x:c>
      <x:c r="J77" s="39"/>
    </x:row>
    <x:row r="78">
      <x:c r="A78" s="39" t="n">
        <x:v>59</x:v>
      </x:c>
      <x:c r="B78" s="39" t="n">
        <x:v>342.8027346306927</x:v>
      </x:c>
      <x:c r="C78" s="39" t="n">
        <x:v>0.003530643990542885</x:v>
      </x:c>
      <x:c r="D78" s="39" t="n">
        <x:v>0.04544448436289911</x:v>
      </x:c>
      <x:c r="E78" s="39" t="n">
        <x:v>1.0418300132921263</x:v>
      </x:c>
      <x:c r="F78" s="39" t="n">
        <x:v>0.009657797052811211</x:v>
      </x:c>
      <x:c r="G78" s="39" t="n">
        <x:v>-0.013991872058243496</x:v>
      </x:c>
      <x:c r="H78" s="39" t="n">
        <x:v>0.08114342666973556</x:v>
      </x:c>
      <x:c r="I78" s="39" t="n">
        <x:v>0.02230615932819014</x:v>
      </x:c>
      <x:c r="J78" s="39"/>
    </x:row>
    <x:row r="79">
      <x:c r="A79" s="39" t="n">
        <x:v>60</x:v>
      </x:c>
      <x:c r="B79" s="39" t="n">
        <x:v>216.81610451361547</x:v>
      </x:c>
      <x:c r="C79" s="39" t="n">
        <x:v>-0.008032912875566968</x:v>
      </x:c>
      <x:c r="D79" s="39" t="n">
        <x:v>0.01785446795274653</x:v>
      </x:c>
      <x:c r="E79" s="39" t="n">
        <x:v>0.8129817042174332</x:v>
      </x:c>
      <x:c r="F79" s="39" t="n">
        <x:v>-0.007905720623672414</x:v>
      </x:c>
      <x:c r="G79" s="39" t="n">
        <x:v>0.013514018489067324</x:v>
      </x:c>
      <x:c r="H79" s="39" t="n">
        <x:v>0.08450983052029468</x:v>
      </x:c>
      <x:c r="I79" s="39" t="n">
        <x:v>0.01761555291764124</x:v>
      </x:c>
      <x:c r="J79" s="39"/>
    </x:row>
    <x:row r="80">
      <x:c r="A80" s="39" t="n">
        <x:v>61</x:v>
      </x:c>
      <x:c r="B80" s="39" t="n">
        <x:v>280.74637693448693</x:v>
      </x:c>
      <x:c r="C80" s="39" t="n">
        <x:v>-0.00023255656639153334</x:v>
      </x:c>
      <x:c r="D80" s="39" t="n">
        <x:v>0.046021981041072496</x:v>
      </x:c>
      <x:c r="E80" s="39" t="n">
        <x:v>1.0317210483601233</x:v>
      </x:c>
      <x:c r="F80" s="39" t="n">
        <x:v>-0.004576214615306136</x:v>
      </x:c>
      <x:c r="G80" s="39" t="n">
        <x:v>0.00440684289637936</x:v>
      </x:c>
      <x:c r="H80" s="39" t="n">
        <x:v>0.09033832077853693</x:v>
      </x:c>
      <x:c r="I80" s="39" t="n">
        <x:v>0.026604617288101658</x:v>
      </x:c>
      <x:c r="J80" s="39"/>
    </x:row>
    <x:row r="81">
      <x:c r="A81" s="39" t="n">
        <x:v>62</x:v>
      </x:c>
      <x:c r="B81" s="39" t="n">
        <x:v>382.6721881452864</x:v>
      </x:c>
      <x:c r="C81" s="39" t="n">
        <x:v>0.002727369402968643</x:v>
      </x:c>
      <x:c r="D81" s="39" t="n">
        <x:v>0.06268079361278017</x:v>
      </x:c>
      <x:c r="E81" s="39" t="n">
        <x:v>0.8451831495569604</x:v>
      </x:c>
      <x:c r="F81" s="39" t="n">
        <x:v>0.005832686284495637</x:v>
      </x:c>
      <x:c r="G81" s="39" t="n">
        <x:v>-0.0010626894108485643</x:v>
      </x:c>
      <x:c r="H81" s="39" t="n">
        <x:v>0.08027389318598979</x:v>
      </x:c>
      <x:c r="I81" s="39" t="n">
        <x:v>0.02645913289255112</x:v>
      </x:c>
      <x:c r="J81" s="39"/>
    </x:row>
    <x:row r="82">
      <x:c r="A82" s="39" t="n">
        <x:v>63</x:v>
      </x:c>
      <x:c r="B82" s="39" t="n">
        <x:v>343.75207965604653</x:v>
      </x:c>
      <x:c r="C82" s="39" t="n">
        <x:v>0.007127883783556222</x:v>
      </x:c>
      <x:c r="D82" s="39" t="n">
        <x:v>0.020582379646036042</x:v>
      </x:c>
      <x:c r="E82" s="39" t="n">
        <x:v>0.981917563274613</x:v>
      </x:c>
      <x:c r="F82" s="39" t="n">
        <x:v>0.005402878809294585</x:v>
      </x:c>
      <x:c r="G82" s="39" t="n">
        <x:v>-0.02488526360699811</x:v>
      </x:c>
      <x:c r="H82" s="39" t="n">
        <x:v>0.07548693903372204</x:v>
      </x:c>
      <x:c r="I82" s="39" t="n">
        <x:v>0.022667578141798893</x:v>
      </x:c>
      <x:c r="J82" s="39"/>
    </x:row>
    <x:row r="83">
      <x:c r="A83" s="39" t="n">
        <x:v>64</x:v>
      </x:c>
      <x:c r="B83" s="39" t="n">
        <x:v>360.3441345706536</x:v>
      </x:c>
      <x:c r="C83" s="39" t="n">
        <x:v>-0.007470986803478669</x:v>
      </x:c>
      <x:c r="D83" s="39" t="n">
        <x:v>0.06665181644052423</x:v>
      </x:c>
      <x:c r="E83" s="39" t="n">
        <x:v>1.1297361556924612</x:v>
      </x:c>
      <x:c r="F83" s="39" t="n">
        <x:v>0.004065750056391827</x:v>
      </x:c>
      <x:c r="G83" s="39" t="n">
        <x:v>-0.014218734244277291</x:v>
      </x:c>
      <x:c r="H83" s="39" t="n">
        <x:v>0.08116207955416582</x:v>
      </x:c>
      <x:c r="I83" s="39" t="n">
        <x:v>0.025305418887259293</x:v>
      </x:c>
      <x:c r="J83" s="39"/>
    </x:row>
    <x:row r="84">
      <x:c r="A84" s="39" t="n">
        <x:v>65</x:v>
      </x:c>
      <x:c r="B84" s="39" t="n">
        <x:v>280.25083139950675</x:v>
      </x:c>
      <x:c r="C84" s="39" t="n">
        <x:v>-0.0012883635506182414</x:v>
      </x:c>
      <x:c r="D84" s="39" t="n">
        <x:v>0.026524992468558096</x:v>
      </x:c>
      <x:c r="E84" s="39" t="n">
        <x:v>0.8771888699720116</x:v>
      </x:c>
      <x:c r="F84" s="39" t="n">
        <x:v>-0.004569800136655616</x:v>
      </x:c>
      <x:c r="G84" s="39" t="n">
        <x:v>0.01225347211059547</x:v>
      </x:c>
      <x:c r="H84" s="39" t="n">
        <x:v>0.07984201708160582</x:v>
      </x:c>
      <x:c r="I84" s="39" t="n">
        <x:v>0.021577830233880733</x:v>
      </x:c>
      <x:c r="J84" s="39"/>
    </x:row>
    <x:row r="85">
      <x:c r="A85" s="39" t="n">
        <x:v>66</x:v>
      </x:c>
      <x:c r="B85" s="39" t="n">
        <x:v>301.8976673384864</x:v>
      </x:c>
      <x:c r="C85" s="39" t="n">
        <x:v>-0.003982501068335718</x:v>
      </x:c>
      <x:c r="D85" s="39" t="n">
        <x:v>0.04195390028203131</x:v>
      </x:c>
      <x:c r="E85" s="39" t="n">
        <x:v>1.0129931508088208</x:v>
      </x:c>
      <x:c r="F85" s="39" t="n">
        <x:v>0.002609662994956172</x:v>
      </x:c>
      <x:c r="G85" s="39" t="n">
        <x:v>0.005933285175655716</x:v>
      </x:c>
      <x:c r="H85" s="39" t="n">
        <x:v>0.0854291285167536</x:v>
      </x:c>
      <x:c r="I85" s="39" t="n">
        <x:v>0.02506672865715324</x:v>
      </x:c>
      <x:c r="J85" s="39"/>
    </x:row>
    <x:row r="86">
      <x:c r="A86" s="39" t="n">
        <x:v>67</x:v>
      </x:c>
      <x:c r="B86" s="39" t="n">
        <x:v>338.0957733003604</x:v>
      </x:c>
      <x:c r="C86" s="39" t="n">
        <x:v>-0.0011483621738771314</x:v>
      </x:c>
      <x:c r="D86" s="39" t="n">
        <x:v>0.021704480932820833</x:v>
      </x:c>
      <x:c r="E86" s="39" t="n">
        <x:v>0.673525519737368</x:v>
      </x:c>
      <x:c r="F86" s="39" t="n">
        <x:v>-0.004590547683710181</x:v>
      </x:c>
      <x:c r="G86" s="39" t="n">
        <x:v>-0.002309371244581552</x:v>
      </x:c>
      <x:c r="H86" s="39" t="n">
        <x:v>0.07690027668926125</x:v>
      </x:c>
      <x:c r="I86" s="39" t="n">
        <x:v>0.030361521231464184</x:v>
      </x:c>
      <x:c r="J86" s="39"/>
    </x:row>
    <x:row r="87">
      <x:c r="A87" s="39" t="n">
        <x:v>68</x:v>
      </x:c>
      <x:c r="B87" s="39" t="n">
        <x:v>261.1721713208696</x:v>
      </x:c>
      <x:c r="C87" s="39" t="n">
        <x:v>-0.002868078558958117</x:v>
      </x:c>
      <x:c r="D87" s="39" t="n">
        <x:v>0.010547531531294046</x:v>
      </x:c>
      <x:c r="E87" s="39" t="n">
        <x:v>0.8614877626045941</x:v>
      </x:c>
      <x:c r="F87" s="39" t="n">
        <x:v>0.004415983976277124</x:v>
      </x:c>
      <x:c r="G87" s="39" t="n">
        <x:v>0.0012871493855053776</x:v>
      </x:c>
      <x:c r="H87" s="39" t="n">
        <x:v>0.09590654255875294</x:v>
      </x:c>
      <x:c r="I87" s="39" t="n">
        <x:v>0.035</x:v>
      </x:c>
      <x:c r="J87" s="39"/>
    </x:row>
    <x:row r="88">
      <x:c r="A88" s="39" t="n">
        <x:v>69</x:v>
      </x:c>
      <x:c r="B88" s="39" t="n">
        <x:v>257.9504668333449</x:v>
      </x:c>
      <x:c r="C88" s="39" t="n">
        <x:v>-0.012098644661118228</x:v>
      </x:c>
      <x:c r="D88" s="39" t="n">
        <x:v>0.05833499609716676</x:v>
      </x:c>
      <x:c r="E88" s="39" t="n">
        <x:v>0.9360737752534104</x:v>
      </x:c>
      <x:c r="F88" s="39" t="n">
        <x:v>-0.010014590755607417</x:v>
      </x:c>
      <x:c r="G88" s="39" t="n">
        <x:v>0.008026126706811952</x:v>
      </x:c>
      <x:c r="H88" s="39" t="n">
        <x:v>0.08635297923838911</x:v>
      </x:c>
      <x:c r="I88" s="39" t="n">
        <x:v>0.020642886823613232</x:v>
      </x:c>
      <x:c r="J88" s="39"/>
    </x:row>
    <x:row r="89">
      <x:c r="A89" s="39" t="n">
        <x:v>70</x:v>
      </x:c>
      <x:c r="B89" s="39" t="n">
        <x:v>219.460011600056</x:v>
      </x:c>
      <x:c r="C89" s="39" t="n">
        <x:v>-0.0021531582160117693</x:v>
      </x:c>
      <x:c r="D89" s="39" t="n">
        <x:v>0.03416509898662465</x:v>
      </x:c>
      <x:c r="E89" s="39" t="n">
        <x:v>0.9382319199576266</x:v>
      </x:c>
      <x:c r="F89" s="39" t="n">
        <x:v>0.0006514364304949104</x:v>
      </x:c>
      <x:c r="G89" s="39" t="n">
        <x:v>-0.003914275787577919</x:v>
      </x:c>
      <x:c r="H89" s="39" t="n">
        <x:v>0.1004332777904654</x:v>
      </x:c>
      <x:c r="I89" s="39" t="n">
        <x:v>0.021919346130113888</x:v>
      </x:c>
      <x:c r="J89" s="39"/>
    </x:row>
    <x:row r="90">
      <x:c r="A90" s="39" t="n">
        <x:v>71</x:v>
      </x:c>
      <x:c r="B90" s="39" t="n">
        <x:v>346.52718550240144</x:v>
      </x:c>
      <x:c r="C90" s="39" t="n">
        <x:v>-0.0024799835593959404</x:v>
      </x:c>
      <x:c r="D90" s="39" t="n">
        <x:v>0.0419971663686115</x:v>
      </x:c>
      <x:c r="E90" s="39" t="n">
        <x:v>0.9166572027028219</x:v>
      </x:c>
      <x:c r="F90" s="39" t="n">
        <x:v>0.0007679435879589363</x:v>
      </x:c>
      <x:c r="G90" s="39" t="n">
        <x:v>-0.0011573384142718123</x:v>
      </x:c>
      <x:c r="H90" s="39" t="n">
        <x:v>0.08117896094260416</x:v>
      </x:c>
      <x:c r="I90" s="39" t="n">
        <x:v>0.02906083178341024</x:v>
      </x:c>
      <x:c r="J90" s="39"/>
    </x:row>
    <x:row r="91">
      <x:c r="A91" s="39" t="n">
        <x:v>72</x:v>
      </x:c>
      <x:c r="B91" s="39" t="n">
        <x:v>216.2497879100474</x:v>
      </x:c>
      <x:c r="C91" s="39" t="n">
        <x:v>-0.0010976276104415832</x:v>
      </x:c>
      <x:c r="D91" s="39" t="n">
        <x:v>0.02952785669414766</x:v>
      </x:c>
      <x:c r="E91" s="39" t="n">
        <x:v>0.949079809784703</x:v>
      </x:c>
      <x:c r="F91" s="39" t="n">
        <x:v>-0.006289648459905646</x:v>
      </x:c>
      <x:c r="G91" s="39" t="n">
        <x:v>0.005962880652247271</x:v>
      </x:c>
      <x:c r="H91" s="39" t="n">
        <x:v>0.09510610194665559</x:v>
      </x:c>
      <x:c r="I91" s="39" t="n">
        <x:v>0.020096834036159642</x:v>
      </x:c>
      <x:c r="J91" s="39"/>
    </x:row>
    <x:row r="92">
      <x:c r="A92" s="39" t="n">
        <x:v>73</x:v>
      </x:c>
      <x:c r="B92" s="39" t="n">
        <x:v>288.1460711589141</x:v>
      </x:c>
      <x:c r="C92" s="39" t="n">
        <x:v>0.0049049925033809545</x:v>
      </x:c>
      <x:c r="D92" s="39" t="n">
        <x:v>0.05623006520459825</x:v>
      </x:c>
      <x:c r="E92" s="39" t="n">
        <x:v>0.8640997954134406</x:v>
      </x:c>
      <x:c r="F92" s="39" t="n">
        <x:v>0.011382335365098938</x:v>
      </x:c>
      <x:c r="G92" s="39" t="n">
        <x:v>-0.00009505766759410698</x:v>
      </x:c>
      <x:c r="H92" s="39" t="n">
        <x:v>0.09246274702768564</x:v>
      </x:c>
      <x:c r="I92" s="39" t="n">
        <x:v>0.020204001096644584</x:v>
      </x:c>
      <x:c r="J92" s="39"/>
    </x:row>
    <x:row r="93">
      <x:c r="A93" s="39" t="n">
        <x:v>74</x:v>
      </x:c>
      <x:c r="B93" s="39" t="n">
        <x:v>290.52898970509216</x:v>
      </x:c>
      <x:c r="C93" s="39" t="n">
        <x:v>-0.006595385349168559</x:v>
      </x:c>
      <x:c r="D93" s="39" t="n">
        <x:v>0.03781960671128514</x:v>
      </x:c>
      <x:c r="E93" s="39" t="n">
        <x:v>0.8188370238198583</x:v>
      </x:c>
      <x:c r="F93" s="39" t="n">
        <x:v>-0.004578584099034655</x:v>
      </x:c>
      <x:c r="G93" s="39" t="n">
        <x:v>0.0015853356794843644</x:v>
      </x:c>
      <x:c r="H93" s="39" t="n">
        <x:v>0.08666454425294239</x:v>
      </x:c>
      <x:c r="I93" s="39" t="n">
        <x:v>0.029948960500675963</x:v>
      </x:c>
      <x:c r="J93" s="39"/>
    </x:row>
    <x:row r="94">
      <x:c r="A94" s="39" t="n">
        <x:v>75</x:v>
      </x:c>
      <x:c r="B94" s="39" t="n">
        <x:v>345.491731968028</x:v>
      </x:c>
      <x:c r="C94" s="39" t="n">
        <x:v>0.0019213280935573105</x:v>
      </x:c>
      <x:c r="D94" s="39" t="n">
        <x:v>0.027818464617856975</x:v>
      </x:c>
      <x:c r="E94" s="39" t="n">
        <x:v>0.9551600150192303</x:v>
      </x:c>
      <x:c r="F94" s="39" t="n">
        <x:v>-0.004240650113183416</x:v>
      </x:c>
      <x:c r="G94" s="39" t="n">
        <x:v>0.003064867022618351</x:v>
      </x:c>
      <x:c r="H94" s="39" t="n">
        <x:v>0.07244859852714042</x:v>
      </x:c>
      <x:c r="I94" s="39" t="n">
        <x:v>0.023283342094066448</x:v>
      </x:c>
      <x:c r="J94" s="39"/>
    </x:row>
    <x:row r="95">
      <x:c r="A95" s="39" t="n">
        <x:v>76</x:v>
      </x:c>
      <x:c r="B95" s="39" t="n">
        <x:v>248.2626254112933</x:v>
      </x:c>
      <x:c r="C95" s="39" t="n">
        <x:v>0.006662271797698198</x:v>
      </x:c>
      <x:c r="D95" s="39" t="n">
        <x:v>0.02206630958608965</x:v>
      </x:c>
      <x:c r="E95" s="39" t="n">
        <x:v>0.7681221491137374</x:v>
      </x:c>
      <x:c r="F95" s="39" t="n">
        <x:v>0.007036626693240986</x:v>
      </x:c>
      <x:c r="G95" s="39" t="n">
        <x:v>-0.008922787377884194</x:v>
      </x:c>
      <x:c r="H95" s="39" t="n">
        <x:v>0.09335897160482898</x:v>
      </x:c>
      <x:c r="I95" s="39" t="n">
        <x:v>0.02156814653900777</x:v>
      </x:c>
      <x:c r="J95" s="39"/>
    </x:row>
    <x:row r="96">
      <x:c r="A96" s="39" t="n">
        <x:v>77</x:v>
      </x:c>
      <x:c r="B96" s="39" t="n">
        <x:v>251.26107608285744</x:v>
      </x:c>
      <x:c r="C96" s="39" t="n">
        <x:v>-0.00006126061197360209</x:v>
      </x:c>
      <x:c r="D96" s="39" t="n">
        <x:v>0.03413069497035578</x:v>
      </x:c>
      <x:c r="E96" s="39" t="n">
        <x:v>0.9938590776860674</x:v>
      </x:c>
      <x:c r="F96" s="39" t="n">
        <x:v>0.006501241631057154</x:v>
      </x:c>
      <x:c r="G96" s="39" t="n">
        <x:v>-0.0036921733785693785</x:v>
      </x:c>
      <x:c r="H96" s="39" t="n">
        <x:v>0.09534426394991197</x:v>
      </x:c>
      <x:c r="I96" s="39" t="n">
        <x:v>0.02247288566938726</x:v>
      </x:c>
      <x:c r="J96" s="39"/>
    </x:row>
    <x:row r="97">
      <x:c r="A97" s="39" t="n">
        <x:v>78</x:v>
      </x:c>
      <x:c r="B97" s="39" t="n">
        <x:v>270.4275702707315</x:v>
      </x:c>
      <x:c r="C97" s="39" t="n">
        <x:v>0.006840491991734376</x:v>
      </x:c>
      <x:c r="D97" s="39" t="n">
        <x:v>0.011570980067699679</x:v>
      </x:c>
      <x:c r="E97" s="39" t="n">
        <x:v>0.7231239712283496</x:v>
      </x:c>
      <x:c r="F97" s="39" t="n">
        <x:v>0.002825838106519658</x:v>
      </x:c>
      <x:c r="G97" s="39" t="n">
        <x:v>0.0060884032149660094</x:v>
      </x:c>
      <x:c r="H97" s="39" t="n">
        <x:v>0.08037164969028325</x:v>
      </x:c>
      <x:c r="I97" s="39" t="n">
        <x:v>0.018657950617948362</x:v>
      </x:c>
      <x:c r="J97" s="39"/>
    </x:row>
    <x:row r="98">
      <x:c r="A98" s="39" t="n">
        <x:v>79</x:v>
      </x:c>
      <x:c r="B98" s="39" t="n">
        <x:v>256.63675072300714</x:v>
      </x:c>
      <x:c r="C98" s="39" t="n">
        <x:v>-0.006038127238730986</x:v>
      </x:c>
      <x:c r="D98" s="39" t="n">
        <x:v>0.02049877483106197</x:v>
      </x:c>
      <x:c r="E98" s="39" t="n">
        <x:v>0.8590776292580663</x:v>
      </x:c>
      <x:c r="F98" s="39" t="n">
        <x:v>-0.0027024456970244602</x:v>
      </x:c>
      <x:c r="G98" s="39" t="n">
        <x:v>0.0007693116510437495</x:v>
      </x:c>
      <x:c r="H98" s="39" t="n">
        <x:v>0.0879236739140914</x:v>
      </x:c>
      <x:c r="I98" s="39" t="n">
        <x:v>0.02731945425752011</x:v>
      </x:c>
      <x:c r="J98" s="39"/>
    </x:row>
    <x:row r="99">
      <x:c r="A99" s="39" t="n">
        <x:v>80</x:v>
      </x:c>
      <x:c r="B99" s="39" t="n">
        <x:v>406.39737405821097</x:v>
      </x:c>
      <x:c r="C99" s="39" t="n">
        <x:v>0.01824164838407411</x:v>
      </x:c>
      <x:c r="D99" s="39" t="n">
        <x:v>0.025983409286512563</x:v>
      </x:c>
      <x:c r="E99" s="39" t="n">
        <x:v>0.9977467612924247</x:v>
      </x:c>
      <x:c r="F99" s="39" t="n">
        <x:v>0.011605472919183103</x:v>
      </x:c>
      <x:c r="G99" s="39" t="n">
        <x:v>-0.006419142909425318</x:v>
      </x:c>
      <x:c r="H99" s="39" t="n">
        <x:v>0.07953222277588903</x:v>
      </x:c>
      <x:c r="I99" s="39" t="n">
        <x:v>0.029567543387553023</x:v>
      </x:c>
      <x:c r="J99" s="39"/>
    </x:row>
    <x:row r="100">
      <x:c r="A100" s="39" t="n">
        <x:v>81</x:v>
      </x:c>
      <x:c r="B100" s="39" t="n">
        <x:v>282.94833335332146</x:v>
      </x:c>
      <x:c r="C100" s="39" t="n">
        <x:v>-0.0033155486427234745</x:v>
      </x:c>
      <x:c r="D100" s="39" t="n">
        <x:v>0.05558639422080672</x:v>
      </x:c>
      <x:c r="E100" s="39" t="n">
        <x:v>0.9459189071117629</x:v>
      </x:c>
      <x:c r="F100" s="39" t="n">
        <x:v>-0.0022044191131962007</x:v>
      </x:c>
      <x:c r="G100" s="39" t="n">
        <x:v>0.004919033649133175</x:v>
      </x:c>
      <x:c r="H100" s="39" t="n">
        <x:v>0.0898102956052324</x:v>
      </x:c>
      <x:c r="I100" s="39" t="n">
        <x:v>0.024466954228753335</x:v>
      </x:c>
      <x:c r="J100" s="39"/>
    </x:row>
    <x:row r="101">
      <x:c r="A101" s="39" t="n">
        <x:v>82</x:v>
      </x:c>
      <x:c r="B101" s="39" t="n">
        <x:v>354.2686939641508</x:v>
      </x:c>
      <x:c r="C101" s="39" t="n">
        <x:v>0.013615784598374597</x:v>
      </x:c>
      <x:c r="D101" s="39" t="n">
        <x:v>0.05596265694232811</x:v>
      </x:c>
      <x:c r="E101" s="39" t="n">
        <x:v>0.9865923186993717</x:v>
      </x:c>
      <x:c r="F101" s="39" t="n">
        <x:v>0.010227590998986956</x:v>
      </x:c>
      <x:c r="G101" s="39" t="n">
        <x:v>0.007960339469845507</x:v>
      </x:c>
      <x:c r="H101" s="39" t="n">
        <x:v>0.0856367883537417</x:v>
      </x:c>
      <x:c r="I101" s="39" t="n">
        <x:v>0.024238347576853857</x:v>
      </x:c>
      <x:c r="J101" s="39"/>
    </x:row>
    <x:row r="102">
      <x:c r="A102" s="39" t="n">
        <x:v>83</x:v>
      </x:c>
      <x:c r="B102" s="39" t="n">
        <x:v>531.9714507557071</x:v>
      </x:c>
      <x:c r="C102" s="39" t="n">
        <x:v>-0.0038604758430406836</x:v>
      </x:c>
      <x:c r="D102" s="39" t="n">
        <x:v>0.05047848782914053</x:v>
      </x:c>
      <x:c r="E102" s="39" t="n">
        <x:v>0.968588433282795</x:v>
      </x:c>
      <x:c r="F102" s="39" t="n">
        <x:v>0.008493903218768004</x:v>
      </x:c>
      <x:c r="G102" s="39" t="n">
        <x:v>-0.011852335652553374</x:v>
      </x:c>
      <x:c r="H102" s="39" t="n">
        <x:v>0.0656558960367578</x:v>
      </x:c>
      <x:c r="I102" s="39" t="n">
        <x:v>0.028257974825212084</x:v>
      </x:c>
      <x:c r="J102" s="39"/>
    </x:row>
    <x:row r="103">
      <x:c r="A103" s="39" t="n">
        <x:v>84</x:v>
      </x:c>
      <x:c r="B103" s="39" t="n">
        <x:v>246.14972799444104</x:v>
      </x:c>
      <x:c r="C103" s="39" t="n">
        <x:v>-0.005461441017728421</x:v>
      </x:c>
      <x:c r="D103" s="39" t="n">
        <x:v>0.03668518174487298</x:v>
      </x:c>
      <x:c r="E103" s="39" t="n">
        <x:v>1.0317120573085667</x:v>
      </x:c>
      <x:c r="F103" s="39" t="n">
        <x:v>-0.00005211941221838</x:v>
      </x:c>
      <x:c r="G103" s="39" t="n">
        <x:v>0.010924017211244015</x:v>
      </x:c>
      <x:c r="H103" s="39" t="n">
        <x:v>0.09621911580708839</x:v>
      </x:c>
      <x:c r="I103" s="39" t="n">
        <x:v>0.02623364436368689</x:v>
      </x:c>
      <x:c r="J103" s="39"/>
    </x:row>
    <x:row r="104">
      <x:c r="A104" s="39" t="n">
        <x:v>85</x:v>
      </x:c>
      <x:c r="B104" s="39" t="n">
        <x:v>237.34594398632098</x:v>
      </x:c>
      <x:c r="C104" s="39" t="n">
        <x:v>0.00688991853337436</x:v>
      </x:c>
      <x:c r="D104" s="39" t="n">
        <x:v>0.04706450204438127</x:v>
      </x:c>
      <x:c r="E104" s="39" t="n">
        <x:v>0.9535260229219651</x:v>
      </x:c>
      <x:c r="F104" s="39" t="n">
        <x:v>-0.003189388949233105</x:v>
      </x:c>
      <x:c r="G104" s="39" t="n">
        <x:v>0.00825462220475506</x:v>
      </x:c>
      <x:c r="H104" s="39" t="n">
        <x:v>0.10154163947264298</x:v>
      </x:c>
      <x:c r="I104" s="39" t="n">
        <x:v>0.02367294663180548</x:v>
      </x:c>
      <x:c r="J104" s="39"/>
    </x:row>
    <x:row r="105">
      <x:c r="A105" s="39" t="n">
        <x:v>86</x:v>
      </x:c>
      <x:c r="B105" s="39" t="n">
        <x:v>274.2828089902317</x:v>
      </x:c>
      <x:c r="C105" s="39" t="n">
        <x:v>0.0074763975095833496</x:v>
      </x:c>
      <x:c r="D105" s="39" t="n">
        <x:v>0.04631448587795561</x:v>
      </x:c>
      <x:c r="E105" s="39" t="n">
        <x:v>0.9813512949932182</x:v>
      </x:c>
      <x:c r="F105" s="39" t="n">
        <x:v>0.003169546420352296</x:v>
      </x:c>
      <x:c r="G105" s="39" t="n">
        <x:v>-0.0023976714364438954</x:v>
      </x:c>
      <x:c r="H105" s="39" t="n">
        <x:v>0.09742702246056008</x:v>
      </x:c>
      <x:c r="I105" s="39" t="n">
        <x:v>0.026747094727219155</x:v>
      </x:c>
      <x:c r="J105" s="39"/>
    </x:row>
    <x:row r="106">
      <x:c r="A106" s="39" t="n">
        <x:v>87</x:v>
      </x:c>
      <x:c r="B106" s="39" t="n">
        <x:v>433.5312193736924</x:v>
      </x:c>
      <x:c r="C106" s="39" t="n">
        <x:v>-0.00010805339807415651</x:v>
      </x:c>
      <x:c r="D106" s="39" t="n">
        <x:v>0.04066581347249275</x:v>
      </x:c>
      <x:c r="E106" s="39" t="n">
        <x:v>0.939545509174957</x:v>
      </x:c>
      <x:c r="F106" s="39" t="n">
        <x:v>0.0013057213342471123</x:v>
      </x:c>
      <x:c r="G106" s="39" t="n">
        <x:v>-0.0007130644142200117</x:v>
      </x:c>
      <x:c r="H106" s="39" t="n">
        <x:v>0.07501938715077462</x:v>
      </x:c>
      <x:c r="I106" s="39" t="n">
        <x:v>0.032610870397242114</x:v>
      </x:c>
      <x:c r="J106" s="39"/>
    </x:row>
    <x:row r="107">
      <x:c r="A107" s="39" t="n">
        <x:v>88</x:v>
      </x:c>
      <x:c r="B107" s="39" t="n">
        <x:v>320.97619127517976</x:v>
      </x:c>
      <x:c r="C107" s="39" t="n">
        <x:v>-0.0007393384491130347</x:v>
      </x:c>
      <x:c r="D107" s="39" t="n">
        <x:v>0.06745289269477979</x:v>
      </x:c>
      <x:c r="E107" s="39" t="n">
        <x:v>1.0250432077481113</x:v>
      </x:c>
      <x:c r="F107" s="39" t="n">
        <x:v>0.003072503932754022</x:v>
      </x:c>
      <x:c r="G107" s="39" t="n">
        <x:v>-0.02313716233886593</x:v>
      </x:c>
      <x:c r="H107" s="39" t="n">
        <x:v>0.08701143294262405</x:v>
      </x:c>
      <x:c r="I107" s="39" t="n">
        <x:v>0.023429267806570904</x:v>
      </x:c>
      <x:c r="J107" s="39"/>
    </x:row>
    <x:row r="108">
      <x:c r="A108" s="39" t="n">
        <x:v>89</x:v>
      </x:c>
      <x:c r="B108" s="39" t="n">
        <x:v>211.262294841755</x:v>
      </x:c>
      <x:c r="C108" s="39" t="n">
        <x:v>-0.017243559389195195</x:v>
      </x:c>
      <x:c r="D108" s="39" t="n">
        <x:v>0.02508222492861671</x:v>
      </x:c>
      <x:c r="E108" s="39" t="n">
        <x:v>0.9986864483359396</x:v>
      </x:c>
      <x:c r="F108" s="39" t="n">
        <x:v>-0.007444113651604986</x:v>
      </x:c>
      <x:c r="G108" s="39" t="n">
        <x:v>0.009618786840613118</x:v>
      </x:c>
      <x:c r="H108" s="39" t="n">
        <x:v>0.0952899854462837</x:v>
      </x:c>
      <x:c r="I108" s="39" t="n">
        <x:v>0.02723260690971616</x:v>
      </x:c>
      <x:c r="J108" s="39"/>
    </x:row>
    <x:row r="109">
      <x:c r="A109" s="39" t="n">
        <x:v>90</x:v>
      </x:c>
      <x:c r="B109" s="39" t="n">
        <x:v>310.01381186839467</x:v>
      </x:c>
      <x:c r="C109" s="39" t="n">
        <x:v>0.0044591415058705995</x:v>
      </x:c>
      <x:c r="D109" s="39" t="n">
        <x:v>0.023764793407257352</x:v>
      </x:c>
      <x:c r="E109" s="39" t="n">
        <x:v>0.924375940173741</x:v>
      </x:c>
      <x:c r="F109" s="39" t="n">
        <x:v>0.008539231477359624</x:v>
      </x:c>
      <x:c r="G109" s="39" t="n">
        <x:v>0.0031376272604403295</x:v>
      </x:c>
      <x:c r="H109" s="39" t="n">
        <x:v>0.0822370374720402</x:v>
      </x:c>
      <x:c r="I109" s="39" t="n">
        <x:v>0.023055053627496762</x:v>
      </x:c>
      <x:c r="J109" s="39"/>
    </x:row>
    <x:row r="110">
      <x:c r="A110" s="39" t="n">
        <x:v>91</x:v>
      </x:c>
      <x:c r="B110" s="39" t="n">
        <x:v>289.5594593297957</x:v>
      </x:c>
      <x:c r="C110" s="39" t="n">
        <x:v>-0.007842646769317873</x:v>
      </x:c>
      <x:c r="D110" s="39" t="n">
        <x:v>0.05771481735340383</x:v>
      </x:c>
      <x:c r="E110" s="39" t="n">
        <x:v>0.935374373379712</x:v>
      </x:c>
      <x:c r="F110" s="39" t="n">
        <x:v>-0.00809578604354594</x:v>
      </x:c>
      <x:c r="G110" s="39" t="n">
        <x:v>0.013168426725122083</x:v>
      </x:c>
      <x:c r="H110" s="39" t="n">
        <x:v>0.08128097909773138</x:v>
      </x:c>
      <x:c r="I110" s="39" t="n">
        <x:v>0.020451243066676637</x:v>
      </x:c>
      <x:c r="J110" s="39"/>
    </x:row>
    <x:row r="111">
      <x:c r="A111" s="39" t="n">
        <x:v>92</x:v>
      </x:c>
      <x:c r="B111" s="39" t="n">
        <x:v>245.95377476680736</x:v>
      </x:c>
      <x:c r="C111" s="39" t="n">
        <x:v>-0.012252812670189711</x:v>
      </x:c>
      <x:c r="D111" s="39" t="n">
        <x:v>0.036793788884929325</x:v>
      </x:c>
      <x:c r="E111" s="39" t="n">
        <x:v>1.0312783775934722</x:v>
      </x:c>
      <x:c r="F111" s="39" t="n">
        <x:v>-0.0053217499976568</x:v>
      </x:c>
      <x:c r="G111" s="39" t="n">
        <x:v>0.002966489224473313</x:v>
      </x:c>
      <x:c r="H111" s="39" t="n">
        <x:v>0.09047708758779875</x:v>
      </x:c>
      <x:c r="I111" s="39" t="n">
        <x:v>0.025225090699612204</x:v>
      </x:c>
      <x:c r="J111" s="39"/>
    </x:row>
    <x:row r="112">
      <x:c r="A112" s="39" t="n">
        <x:v>93</x:v>
      </x:c>
      <x:c r="B112" s="39" t="n">
        <x:v>219.35381052943316</x:v>
      </x:c>
      <x:c r="C112" s="39" t="n">
        <x:v>-0.0047970533556480665</x:v>
      </x:c>
      <x:c r="D112" s="39" t="n">
        <x:v>0.009582786919046718</x:v>
      </x:c>
      <x:c r="E112" s="39" t="n">
        <x:v>0.747433014139269</x:v>
      </x:c>
      <x:c r="F112" s="39" t="n">
        <x:v>-0.011767068502184501</x:v>
      </x:c>
      <x:c r="G112" s="39" t="n">
        <x:v>0.0005126996281574457</x:v>
      </x:c>
      <x:c r="H112" s="39" t="n">
        <x:v>0.08751584117503149</x:v>
      </x:c>
      <x:c r="I112" s="39" t="n">
        <x:v>0.02562698799622122</x:v>
      </x:c>
      <x:c r="J112" s="39"/>
    </x:row>
    <x:row r="113">
      <x:c r="A113" s="39" t="n">
        <x:v>94</x:v>
      </x:c>
      <x:c r="B113" s="39" t="n">
        <x:v>261.67123628493306</x:v>
      </x:c>
      <x:c r="C113" s="39" t="n">
        <x:v>0.008911400485150014</x:v>
      </x:c>
      <x:c r="D113" s="39" t="n">
        <x:v>0.05432238587539924</x:v>
      </x:c>
      <x:c r="E113" s="39" t="n">
        <x:v>0.9330431559404299</x:v>
      </x:c>
      <x:c r="F113" s="39" t="n">
        <x:v>0.0005352132092548138</x:v>
      </x:c>
      <x:c r="G113" s="39" t="n">
        <x:v>0.014064366611602914</x:v>
      </x:c>
      <x:c r="H113" s="39" t="n">
        <x:v>0.09686391509608067</x:v>
      </x:c>
      <x:c r="I113" s="39" t="n">
        <x:v>0.021582993626360583</x:v>
      </x:c>
      <x:c r="J113" s="39"/>
    </x:row>
    <x:row r="114">
      <x:c r="A114" s="39" t="n">
        <x:v>95</x:v>
      </x:c>
      <x:c r="B114" s="39" t="n">
        <x:v>359.19208131992934</x:v>
      </x:c>
      <x:c r="C114" s="39" t="n">
        <x:v>0.0066878886468072374</x:v>
      </x:c>
      <x:c r="D114" s="39" t="n">
        <x:v>0.060921448415633614</x:v>
      </x:c>
      <x:c r="E114" s="39" t="n">
        <x:v>0.8221834764394964</x:v>
      </x:c>
      <x:c r="F114" s="39" t="n">
        <x:v>-0.0036221531609983036</x:v>
      </x:c>
      <x:c r="G114" s="39" t="n">
        <x:v>-0.010095016627805362</x:v>
      </x:c>
      <x:c r="H114" s="39" t="n">
        <x:v>0.07612362652642161</x:v>
      </x:c>
      <x:c r="I114" s="39" t="n">
        <x:v>0.021377417723917925</x:v>
      </x:c>
      <x:c r="J114" s="39"/>
    </x:row>
    <x:row r="115">
      <x:c r="A115" s="39" t="n">
        <x:v>96</x:v>
      </x:c>
      <x:c r="B115" s="39" t="n">
        <x:v>333.89327414742127</x:v>
      </x:c>
      <x:c r="C115" s="39" t="n">
        <x:v>0.0111321773423273</x:v>
      </x:c>
      <x:c r="D115" s="39" t="n">
        <x:v>0.012301475566171394</x:v>
      </x:c>
      <x:c r="E115" s="39" t="n">
        <x:v>0.6803416666045683</x:v>
      </x:c>
      <x:c r="F115" s="39" t="n">
        <x:v>0.008518519276368845</x:v>
      </x:c>
      <x:c r="G115" s="39" t="n">
        <x:v>-0.0011199406348884418</x:v>
      </x:c>
      <x:c r="H115" s="39" t="n">
        <x:v>0.08330527102267771</x:v>
      </x:c>
      <x:c r="I115" s="39" t="n">
        <x:v>0.030155920937179805</x:v>
      </x:c>
      <x:c r="J115" s="39"/>
    </x:row>
    <x:row r="116">
      <x:c r="A116" s="39" t="n">
        <x:v>97</x:v>
      </x:c>
      <x:c r="B116" s="39" t="n">
        <x:v>304.32058925380323</x:v>
      </x:c>
      <x:c r="C116" s="39" t="n">
        <x:v>-0.0016452714049816403</x:v>
      </x:c>
      <x:c r="D116" s="39" t="n">
        <x:v>0.051641383085847314</x:v>
      </x:c>
      <x:c r="E116" s="39" t="n">
        <x:v>1.1074914770544328</x:v>
      </x:c>
      <x:c r="F116" s="39" t="n">
        <x:v>-0.004361947494425942</x:v>
      </x:c>
      <x:c r="G116" s="39" t="n">
        <x:v>0.01057025826483034</x:v>
      </x:c>
      <x:c r="H116" s="39" t="n">
        <x:v>0.08236443999797849</x:v>
      </x:c>
      <x:c r="I116" s="39" t="n">
        <x:v>0.02176487610620991</x:v>
      </x:c>
      <x:c r="J116" s="39"/>
    </x:row>
    <x:row r="117">
      <x:c r="A117" s="39" t="n">
        <x:v>98</x:v>
      </x:c>
      <x:c r="B117" s="39" t="n">
        <x:v>304.99948983880984</x:v>
      </x:c>
      <x:c r="C117" s="39" t="n">
        <x:v>0.009622005156378228</x:v>
      </x:c>
      <x:c r="D117" s="39" t="n">
        <x:v>0.05395368029368762</x:v>
      </x:c>
      <x:c r="E117" s="39" t="n">
        <x:v>0.8325985937799552</x:v>
      </x:c>
      <x:c r="F117" s="39" t="n">
        <x:v>0.003454263216185344</x:v>
      </x:c>
      <x:c r="G117" s="39" t="n">
        <x:v>-0.0063489754683010696</x:v>
      </x:c>
      <x:c r="H117" s="39" t="n">
        <x:v>0.09054902972797174</x:v>
      </x:c>
      <x:c r="I117" s="39" t="n">
        <x:v>0.02473383499483609</x:v>
      </x:c>
      <x:c r="J117" s="39"/>
    </x:row>
    <x:row r="118">
      <x:c r="A118" s="39" t="n">
        <x:v>99</x:v>
      </x:c>
      <x:c r="B118" s="39" t="n">
        <x:v>342.28976797535387</x:v>
      </x:c>
      <x:c r="C118" s="39" t="n">
        <x:v>-0.004667054960259359</x:v>
      </x:c>
      <x:c r="D118" s="39" t="n">
        <x:v>0.044340597567460144</x:v>
      </x:c>
      <x:c r="E118" s="39" t="n">
        <x:v>1.0442229448464657</x:v>
      </x:c>
      <x:c r="F118" s="39" t="n">
        <x:v>-0.006667863801914671</x:v>
      </x:c>
      <x:c r="G118" s="39" t="n">
        <x:v>0.014621407789235468</x:v>
      </x:c>
      <x:c r="H118" s="39" t="n">
        <x:v>0.0806433937974783</x:v>
      </x:c>
      <x:c r="I118" s="39" t="n">
        <x:v>0.030158489925272477</x:v>
      </x:c>
      <x:c r="J118" s="39"/>
    </x:row>
    <x:row r="119">
      <x:c r="A119" s="39" t="n">
        <x:v>100</x:v>
      </x:c>
      <x:c r="B119" s="39" t="n">
        <x:v>310.40598922233465</x:v>
      </x:c>
      <x:c r="C119" s="39" t="n">
        <x:v>-0.00077925874417867</x:v>
      </x:c>
      <x:c r="D119" s="39" t="n">
        <x:v>0.03754122540926538</x:v>
      </x:c>
      <x:c r="E119" s="39" t="n">
        <x:v>0.968505411994868</x:v>
      </x:c>
      <x:c r="F119" s="39" t="n">
        <x:v>0.004311194994178103</x:v>
      </x:c>
      <x:c r="G119" s="39" t="n">
        <x:v>-0.016097939412957528</x:v>
      </x:c>
      <x:c r="H119" s="39" t="n">
        <x:v>0.08228658334148194</x:v>
      </x:c>
      <x:c r="I119" s="39" t="n">
        <x:v>0.02301560280669745</x:v>
      </x:c>
      <x:c r="J119" s="39"/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Backtest diagnostics</x:v>
      </x:c>
      <x:c r="B2" s="36"/>
      <x:c r="C2" s="36"/>
      <x:c r="D2" s="36"/>
      <x:c r="E2" s="36"/>
      <x:c r="F2" s="36"/>
      <x:c r="G2" s="36"/>
      <x:c r="H2" s="36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status</x:v>
      </x:c>
      <x:c r="B5" s="61" t="str">
        <x:v>reason</x:v>
      </x:c>
      <x:c r="C5" s="61" t="str">
        <x:v>origins</x:v>
      </x:c>
      <x:c r="D5" s="61" t="str">
        <x:v>mae</x:v>
      </x:c>
      <x:c r="E5" s="61" t="str">
        <x:v>bias</x:v>
      </x:c>
      <x:c r="F5" s="61" t="str">
        <x:v>wmape</x:v>
      </x:c>
      <x:c r="G5" s="62" t="str">
        <x:v>interval_coverage</x:v>
      </x:c>
      <x:c r="H5" s="39"/>
    </x:row>
    <x:row r="6">
      <x:c r="A6" s="39" t="str">
        <x:v>BLOCKED</x:v>
      </x:c>
      <x:c r="B6" s="39" t="str">
        <x:v>No point-in-time forecast snapshots with publication timestamps</x:v>
      </x:c>
      <x:c r="C6" s="39" t="n">
        <x:v>0</x:v>
      </x:c>
      <x:c r="D6" s="39"/>
      <x:c r="E6" s="39"/>
      <x:c r="F6" s="39"/>
      <x:c r="G6" s="39"/>
      <x:c r="H6" s="39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Thesis catalysts monitoring</x:v>
      </x:c>
      <x:c r="B2" s="36"/>
      <x:c r="C2" s="36"/>
      <x:c r="D2" s="36"/>
      <x:c r="E2" s="36"/>
      <x:c r="F2" s="36"/>
      <x:c r="G2" s="36"/>
      <x:c r="H2" s="36"/>
      <x:c r="I2" s="39"/>
      <x:c r="J2" s="39"/>
    </x:row>
    <x:row r="3">
      <x:c r="A3" s="38"/>
      <x:c r="B3" s="38"/>
      <x:c r="C3" s="38"/>
      <x:c r="D3" s="38"/>
      <x:c r="E3" s="38"/>
      <x:c r="F3" s="38"/>
      <x:c r="G3" s="38"/>
      <x:c r="H3" s="38"/>
      <x:c r="I3" s="39"/>
      <x:c r="J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</x:row>
    <x:row r="5">
      <x:c r="A5" s="60" t="str">
        <x:v>name</x:v>
      </x:c>
      <x:c r="B5" s="61" t="str">
        <x:v>expected_timing</x:v>
      </x:c>
      <x:c r="C5" s="61" t="str">
        <x:v>metric</x:v>
      </x:c>
      <x:c r="D5" s="61" t="str">
        <x:v>model_forecast</x:v>
      </x:c>
      <x:c r="E5" s="61" t="str">
        <x:v>latest_value</x:v>
      </x:c>
      <x:c r="F5" s="61" t="str">
        <x:v>bullish_threshold</x:v>
      </x:c>
      <x:c r="G5" s="61" t="str">
        <x:v>bearish_threshold</x:v>
      </x:c>
      <x:c r="H5" s="61" t="str">
        <x:v>higher_is_better</x:v>
      </x:c>
      <x:c r="I5" s="61" t="str">
        <x:v>thesis_implication</x:v>
      </x:c>
      <x:c r="J5" s="62" t="str">
        <x:v>status</x:v>
      </x:c>
    </x:row>
    <x:row r="6">
      <x:c r="A6" s="39" t="str">
        <x:v>Foot Locker margin recovery</x:v>
      </x:c>
      <x:c r="B6" s="39" t="str">
        <x:v>FY2026 Q4</x:v>
      </x:c>
      <x:c r="C6" s="39" t="str">
        <x:v>Foot Locker operating margin</x:v>
      </x:c>
      <x:c r="D6" s="39" t="n">
        <x:v>0.02</x:v>
      </x:c>
      <x:c r="E6" s="39" t="n">
        <x:v>0.024</x:v>
      </x:c>
      <x:c r="F6" s="39" t="n">
        <x:v>0.022</x:v>
      </x:c>
      <x:c r="G6" s="39" t="n">
        <x:v>0.01</x:v>
      </x:c>
      <x:c r="H6" s="124" t="b">
        <x:v>1</x:v>
      </x:c>
      <x:c r="I6" s="39" t="str">
        <x:v>Faster margin recovery supports the acquisition turnaround thesis.</x:v>
      </x:c>
      <x:c r="J6" s="39" t="str">
        <x:v>bullish</x:v>
      </x:c>
    </x:row>
    <x:row r="7">
      <x:c r="A7" s="39" t="str">
        <x:v>Integration cost discipline</x:v>
      </x:c>
      <x:c r="B7" s="39" t="str">
        <x:v>FY2026 Q4</x:v>
      </x:c>
      <x:c r="C7" s="39" t="str">
        <x:v>Integration costs</x:v>
      </x:c>
      <x:c r="D7" s="39" t="n">
        <x:v>195</x:v>
      </x:c>
      <x:c r="E7" s="39" t="n">
        <x:v>230</x:v>
      </x:c>
      <x:c r="F7" s="39" t="n">
        <x:v>180</x:v>
      </x:c>
      <x:c r="G7" s="39" t="n">
        <x:v>225</x:v>
      </x:c>
      <x:c r="H7" s="124" t="b">
        <x:v>0</x:v>
      </x:c>
      <x:c r="I7" s="39" t="str">
        <x:v>Costs above the bearish threshold pressure near-term FCF and confidence in synergy capture.</x:v>
      </x:c>
      <x:c r="J7" s="39" t="str">
        <x:v>bearish</x:v>
      </x:c>
    </x:row>
    <x:row r="8">
      <x:c r="A8" s="39" t="str">
        <x:v>Legacy DICK'S comp stability</x:v>
      </x:c>
      <x:c r="B8" s="39" t="str">
        <x:v>FY2027 Q1</x:v>
      </x:c>
      <x:c r="C8" s="39" t="str">
        <x:v>Comparable sales growth</x:v>
      </x:c>
      <x:c r="D8" s="39" t="n">
        <x:v>0.028</x:v>
      </x:c>
      <x:c r="E8" s="39" t="n">
        <x:v>0.024</x:v>
      </x:c>
      <x:c r="F8" s="39" t="n">
        <x:v>0.032</x:v>
      </x:c>
      <x:c r="G8" s="39" t="n">
        <x:v>0.015</x:v>
      </x:c>
      <x:c r="H8" s="124" t="b">
        <x:v>1</x:v>
      </x:c>
      <x:c r="I8" s="39" t="str">
        <x:v>Stable legacy comps protect consolidated earnings while Foot Locker recovers.</x:v>
      </x:c>
      <x:c r="J8" s="39" t="str">
        <x:v>neutral</x:v>
      </x:c>
    </x:row>
    <x:row r="9">
      <x:c r="A9" s="39" t="str">
        <x:v>Inventory normalization</x:v>
      </x:c>
      <x:c r="B9" s="39" t="str">
        <x:v>FY2027 Q2</x:v>
      </x:c>
      <x:c r="C9" s="39" t="str">
        <x:v>Inventory days</x:v>
      </x:c>
      <x:c r="D9" s="39" t="n">
        <x:v>92</x:v>
      </x:c>
      <x:c r="E9" s="39"/>
      <x:c r="F9" s="39" t="n">
        <x:v>88</x:v>
      </x:c>
      <x:c r="G9" s="39" t="n">
        <x:v>105</x:v>
      </x:c>
      <x:c r="H9" s="124" t="b">
        <x:v>0</x:v>
      </x:c>
      <x:c r="I9" s="39" t="str">
        <x:v>Inventory normalization should improve cash conversion and reduce markdown pressure.</x:v>
      </x:c>
      <x:c r="J9" s="39" t="str">
        <x:v>pending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Forecast variance analysis</x:v>
      </x:c>
      <x:c r="B2" s="36"/>
      <x:c r="C2" s="36"/>
      <x:c r="D2" s="36"/>
      <x:c r="E2" s="36"/>
      <x:c r="F2" s="36"/>
      <x:c r="G2" s="36"/>
      <x:c r="H2" s="36"/>
      <x:c r="I2" s="39"/>
    </x:row>
    <x:row r="3">
      <x:c r="A3" s="38"/>
      <x:c r="B3" s="38"/>
      <x:c r="C3" s="38"/>
      <x:c r="D3" s="38"/>
      <x:c r="E3" s="38"/>
      <x:c r="F3" s="38"/>
      <x:c r="G3" s="38"/>
      <x:c r="H3" s="38"/>
      <x:c r="I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</x:row>
    <x:row r="5">
      <x:c r="A5" s="60" t="str">
        <x:v>snapshot_name</x:v>
      </x:c>
      <x:c r="B5" s="61" t="str">
        <x:v>period</x:v>
      </x:c>
      <x:c r="C5" s="61" t="str">
        <x:v>metric</x:v>
      </x:c>
      <x:c r="D5" s="61" t="str">
        <x:v>prior_forecast</x:v>
      </x:c>
      <x:c r="E5" s="61" t="str">
        <x:v>actual</x:v>
      </x:c>
      <x:c r="F5" s="61" t="str">
        <x:v>attribution_driver</x:v>
      </x:c>
      <x:c r="G5" s="61" t="str">
        <x:v>status</x:v>
      </x:c>
      <x:c r="H5" s="61" t="str">
        <x:v>variance</x:v>
      </x:c>
      <x:c r="I5" s="62" t="str">
        <x:v>variance_pct</x:v>
      </x:c>
    </x:row>
    <x:row r="6">
      <x:c r="A6" s="39" t="str">
        <x:v>v0.1 manual template</x:v>
      </x:c>
      <x:c r="B6" s="39" t="str">
        <x:v>FY2026</x:v>
      </x:c>
      <x:c r="C6" s="39" t="str">
        <x:v>revenue</x:v>
      </x:c>
      <x:c r="D6" s="39" t="n">
        <x:v>23034.8</x:v>
      </x:c>
      <x:c r="E6" s="39" t="n">
        <x:v>23120</x:v>
      </x:c>
      <x:c r="F6" s="39" t="str">
        <x:v>Legacy DICK'S comp growth</x:v>
      </x:c>
      <x:c r="G6" s="39" t="str">
        <x:v>above forecast</x:v>
      </x:c>
      <x:c r="H6" s="39" t="n">
        <x:v>85.20000000000073</x:v>
      </x:c>
      <x:c r="I6" s="39" t="n">
        <x:v>0.0036987514543213194</x:v>
      </x:c>
    </x:row>
    <x:row r="7">
      <x:c r="A7" s="39" t="str">
        <x:v>v0.1 manual template</x:v>
      </x:c>
      <x:c r="B7" s="39" t="str">
        <x:v>FY2026</x:v>
      </x:c>
      <x:c r="C7" s="39" t="str">
        <x:v>ebit</x:v>
      </x:c>
      <x:c r="D7" s="39" t="n">
        <x:v>1202.7</x:v>
      </x:c>
      <x:c r="E7" s="39" t="n">
        <x:v>1165</x:v>
      </x:c>
      <x:c r="F7" s="39" t="str">
        <x:v>Integration costs</x:v>
      </x:c>
      <x:c r="G7" s="39" t="str">
        <x:v>below forecast</x:v>
      </x:c>
      <x:c r="H7" s="39" t="n">
        <x:v>-37.700000000000045</x:v>
      </x:c>
      <x:c r="I7" s="39" t="n">
        <x:v>-0.031346137856489605</x:v>
      </x:c>
    </x:row>
    <x:row r="8">
      <x:c r="A8" s="39" t="str">
        <x:v>v0.1 manual template</x:v>
      </x:c>
      <x:c r="B8" s="39" t="str">
        <x:v>FY2026</x:v>
      </x:c>
      <x:c r="C8" s="39" t="str">
        <x:v>eps</x:v>
      </x:c>
      <x:c r="D8" s="39" t="n">
        <x:v>7</x:v>
      </x:c>
      <x:c r="E8" s="39" t="n">
        <x:v>6.75</x:v>
      </x:c>
      <x:c r="F8" s="39" t="str">
        <x:v>Interest expense and integration costs</x:v>
      </x:c>
      <x:c r="G8" s="39" t="str">
        <x:v>below forecast</x:v>
      </x:c>
      <x:c r="H8" s="39" t="n">
        <x:v>-0.25</x:v>
      </x:c>
      <x:c r="I8" s="39" t="n">
        <x:v>-0.03571428571428571</x:v>
      </x:c>
    </x:row>
    <x:row r="9">
      <x:c r="A9" s="39" t="str">
        <x:v>v0.1 manual template</x:v>
      </x:c>
      <x:c r="B9" s="39" t="str">
        <x:v>FY2026</x:v>
      </x:c>
      <x:c r="C9" s="39" t="str">
        <x:v>fcff</x:v>
      </x:c>
      <x:c r="D9" s="39" t="n">
        <x:v>-700.8</x:v>
      </x:c>
      <x:c r="E9" s="39"/>
      <x:c r="F9" s="39" t="str">
        <x:v>Working capital timing</x:v>
      </x:c>
      <x:c r="G9" s="39" t="str">
        <x:v>pending</x:v>
      </x:c>
      <x:c r="H9" s="39"/>
      <x:c r="I9" s="39"/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C000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2">
      <x:c r="A2" s="36" t="str">
        <x:v>Model audit and quality checks</x:v>
      </x:c>
      <x:c r="B2" s="36"/>
      <x:c r="C2" s="36"/>
      <x:c r="D2" s="36"/>
      <x:c r="E2" s="36"/>
      <x:c r="F2" s="36"/>
      <x:c r="G2" s="36"/>
      <x:c r="H2" s="36"/>
    </x:row>
    <x:row r="3">
      <x:c r="A3" s="37" t="str">
        <x:v>Checks observe the model; no build or output depends on this sheet.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60" t="str">
        <x:v>Check</x:v>
      </x:c>
      <x:c r="B5" s="61" t="str">
        <x:v>Status</x:v>
      </x:c>
      <x:c r="C5" s="61" t="str">
        <x:v>Residual</x:v>
      </x:c>
      <x:c r="D5" s="61" t="str">
        <x:v>Tolerance</x:v>
      </x:c>
      <x:c r="E5" s="62" t="str">
        <x:v>Task ID</x:v>
      </x:c>
      <x:c r="F5" s="39"/>
      <x:c r="G5" s="40" t="str">
        <x:v>Overall status</x:v>
      </x:c>
      <x:c r="H5" s="39" t="str">
        <x:f>IF(COUNTIF(B6:B34,"ERROR")&gt;0,"ERROR",IF(COUNTIF(B6:B34,"BLOCKED")&gt;0,"BLOCKED",IF(COUNTIF(B6:B34,"WARNING")&gt;0,"WARNING","PASS")))</x:f>
        <x:v>BLOCKED</x:v>
      </x:c>
    </x:row>
    <x:row r="6">
      <x:c r="A6" s="39" t="str">
        <x:v>Balance sheet — FY2026</x:v>
      </x:c>
      <x:c r="B6" s="39" t="str">
        <x:f>IF(ABS('Consolidated Balance Sheet'!B$25)&lt;=0.05,"PASS","ERROR")</x:f>
        <x:v>PASS</x:v>
      </x:c>
      <x:c r="C6" s="179" t="n">
        <x:f>'Consolidated Balance Sheet'!B$25</x:f>
        <x:v>0</x:v>
      </x:c>
      <x:c r="D6" s="179" t="n">
        <x:v>0.05</x:v>
      </x:c>
      <x:c r="E6" s="39" t="str">
        <x:v>P0-01</x:v>
      </x:c>
      <x:c r="F6" s="39"/>
      <x:c r="G6" s="42" t="str">
        <x:v>Model mode</x:v>
      </x:c>
      <x:c r="H6" s="39" t="str">
        <x:v>fixture</x:v>
      </x:c>
    </x:row>
    <x:row r="7">
      <x:c r="A7" s="39" t="str">
        <x:v>Cash flow — FY2026</x:v>
      </x:c>
      <x:c r="B7" s="39" t="str">
        <x:f>IF(ABS('Consolidated Cash Flow'!B$26)&lt;=0.05,"PASS","ERROR")</x:f>
        <x:v>PASS</x:v>
      </x:c>
      <x:c r="C7" s="179" t="n">
        <x:f>'Consolidated Cash Flow'!B$26</x:f>
        <x:v>0</x:v>
      </x:c>
      <x:c r="D7" s="179" t="n">
        <x:v>0.05</x:v>
      </x:c>
      <x:c r="E7" s="39" t="str">
        <x:v>P0-06</x:v>
      </x:c>
      <x:c r="F7" s="39"/>
      <x:c r="G7" s="42" t="str">
        <x:v>Data cutoff</x:v>
      </x:c>
      <x:c r="H7" s="39" t="str">
        <x:v>2026-10-10</x:v>
      </x:c>
    </x:row>
    <x:row r="8">
      <x:c r="A8" s="39" t="str">
        <x:v>Funding capacity — FY2026</x:v>
      </x:c>
      <x:c r="B8" s="39" t="str">
        <x:f>IF('Debt Interest Lease'!B$15&lt;=0.05,"PASS","ERROR")</x:f>
        <x:v>PASS</x:v>
      </x:c>
      <x:c r="C8" s="179" t="n">
        <x:f>'Debt Interest Lease'!B$15</x:f>
        <x:v>0</x:v>
      </x:c>
      <x:c r="D8" s="179" t="n">
        <x:v>0.05</x:v>
      </x:c>
      <x:c r="E8" s="39" t="str">
        <x:v>P0-06</x:v>
      </x:c>
      <x:c r="F8" s="39"/>
      <x:c r="G8" s="50" t="str">
        <x:v>Source policy</x:v>
      </x:c>
      <x:c r="H8" s="39" t="str">
        <x:v>Public sources only</x:v>
      </x:c>
    </x:row>
    <x:row r="9">
      <x:c r="A9" s="39" t="str">
        <x:v>Balance sheet — FY2027</x:v>
      </x:c>
      <x:c r="B9" s="39" t="str">
        <x:f>IF(ABS('Consolidated Balance Sheet'!C$25)&lt;=0.05,"PASS","ERROR")</x:f>
        <x:v>PASS</x:v>
      </x:c>
      <x:c r="C9" s="179" t="n">
        <x:f>'Consolidated Balance Sheet'!C$25</x:f>
        <x:v>0</x:v>
      </x:c>
      <x:c r="D9" s="179" t="n">
        <x:v>0.05</x:v>
      </x:c>
      <x:c r="E9" s="39" t="str">
        <x:v>P0-01</x:v>
      </x:c>
      <x:c r="F9" s="39"/>
      <x:c r="G9" s="39"/>
      <x:c r="H9" s="39"/>
    </x:row>
    <x:row r="10">
      <x:c r="A10" s="39" t="str">
        <x:v>Cash flow — FY2027</x:v>
      </x:c>
      <x:c r="B10" s="39" t="str">
        <x:f>IF(ABS('Consolidated Cash Flow'!C$26)&lt;=0.05,"PASS","ERROR")</x:f>
        <x:v>PASS</x:v>
      </x:c>
      <x:c r="C10" s="179" t="n">
        <x:f>'Consolidated Cash Flow'!C$26</x:f>
        <x:v>2.2737367544323206e-13</x:v>
      </x:c>
      <x:c r="D10" s="179" t="n">
        <x:v>0.05</x:v>
      </x:c>
      <x:c r="E10" s="39" t="str">
        <x:v>P0-06</x:v>
      </x:c>
      <x:c r="F10" s="39"/>
      <x:c r="G10" s="39"/>
      <x:c r="H10" s="39"/>
    </x:row>
    <x:row r="11">
      <x:c r="A11" s="39" t="str">
        <x:v>Funding capacity — FY2027</x:v>
      </x:c>
      <x:c r="B11" s="39" t="str">
        <x:f>IF('Debt Interest Lease'!C$15&lt;=0.05,"PASS","ERROR")</x:f>
        <x:v>PASS</x:v>
      </x:c>
      <x:c r="C11" s="179" t="n">
        <x:f>'Debt Interest Lease'!C$15</x:f>
        <x:v>0</x:v>
      </x:c>
      <x:c r="D11" s="179" t="n">
        <x:v>0.05</x:v>
      </x:c>
      <x:c r="E11" s="39" t="str">
        <x:v>P0-06</x:v>
      </x:c>
      <x:c r="F11" s="39"/>
      <x:c r="G11" s="39"/>
      <x:c r="H11" s="39"/>
    </x:row>
    <x:row r="12">
      <x:c r="A12" s="39" t="str">
        <x:v>Balance sheet — FY2028</x:v>
      </x:c>
      <x:c r="B12" s="39" t="str">
        <x:f>IF(ABS('Consolidated Balance Sheet'!D$25)&lt;=0.05,"PASS","ERROR")</x:f>
        <x:v>PASS</x:v>
      </x:c>
      <x:c r="C12" s="179" t="n">
        <x:f>'Consolidated Balance Sheet'!D$25</x:f>
        <x:v>0</x:v>
      </x:c>
      <x:c r="D12" s="179" t="n">
        <x:v>0.05</x:v>
      </x:c>
      <x:c r="E12" s="39" t="str">
        <x:v>P0-01</x:v>
      </x:c>
      <x:c r="F12" s="39"/>
      <x:c r="G12" s="39"/>
      <x:c r="H12" s="39"/>
    </x:row>
    <x:row r="13">
      <x:c r="A13" s="39" t="str">
        <x:v>Cash flow — FY2028</x:v>
      </x:c>
      <x:c r="B13" s="39" t="str">
        <x:f>IF(ABS('Consolidated Cash Flow'!D$26)&lt;=0.05,"PASS","ERROR")</x:f>
        <x:v>PASS</x:v>
      </x:c>
      <x:c r="C13" s="179" t="n">
        <x:f>'Consolidated Cash Flow'!D$26</x:f>
        <x:v>0</x:v>
      </x:c>
      <x:c r="D13" s="179" t="n">
        <x:v>0.05</x:v>
      </x:c>
      <x:c r="E13" s="39" t="str">
        <x:v>P0-06</x:v>
      </x:c>
      <x:c r="F13" s="39"/>
      <x:c r="G13" s="39"/>
      <x:c r="H13" s="39"/>
    </x:row>
    <x:row r="14">
      <x:c r="A14" s="39" t="str">
        <x:v>Funding capacity — FY2028</x:v>
      </x:c>
      <x:c r="B14" s="39" t="str">
        <x:f>IF('Debt Interest Lease'!D$15&lt;=0.05,"PASS","ERROR")</x:f>
        <x:v>PASS</x:v>
      </x:c>
      <x:c r="C14" s="179" t="n">
        <x:f>'Debt Interest Lease'!D$15</x:f>
        <x:v>0</x:v>
      </x:c>
      <x:c r="D14" s="179" t="n">
        <x:v>0.05</x:v>
      </x:c>
      <x:c r="E14" s="39" t="str">
        <x:v>P0-06</x:v>
      </x:c>
      <x:c r="F14" s="39"/>
      <x:c r="G14" s="39"/>
      <x:c r="H14" s="39"/>
    </x:row>
    <x:row r="15">
      <x:c r="A15" s="39" t="str">
        <x:v>Balance sheet — FY2029</x:v>
      </x:c>
      <x:c r="B15" s="39" t="str">
        <x:f>IF(ABS('Consolidated Balance Sheet'!E$25)&lt;=0.05,"PASS","ERROR")</x:f>
        <x:v>PASS</x:v>
      </x:c>
      <x:c r="C15" s="179" t="n">
        <x:f>'Consolidated Balance Sheet'!E$25</x:f>
        <x:v>3.637978807091713e-12</x:v>
      </x:c>
      <x:c r="D15" s="179" t="n">
        <x:v>0.05</x:v>
      </x:c>
      <x:c r="E15" s="39" t="str">
        <x:v>P0-01</x:v>
      </x:c>
      <x:c r="F15" s="39"/>
      <x:c r="G15" s="39"/>
      <x:c r="H15" s="39"/>
    </x:row>
    <x:row r="16">
      <x:c r="A16" s="39" t="str">
        <x:v>Cash flow — FY2029</x:v>
      </x:c>
      <x:c r="B16" s="39" t="str">
        <x:f>IF(ABS('Consolidated Cash Flow'!E$26)&lt;=0.05,"PASS","ERROR")</x:f>
        <x:v>PASS</x:v>
      </x:c>
      <x:c r="C16" s="179" t="n">
        <x:f>'Consolidated Cash Flow'!E$26</x:f>
        <x:v>0</x:v>
      </x:c>
      <x:c r="D16" s="179" t="n">
        <x:v>0.05</x:v>
      </x:c>
      <x:c r="E16" s="39" t="str">
        <x:v>P0-06</x:v>
      </x:c>
      <x:c r="F16" s="39"/>
      <x:c r="G16" s="39"/>
      <x:c r="H16" s="39"/>
    </x:row>
    <x:row r="17">
      <x:c r="A17" s="39" t="str">
        <x:v>Funding capacity — FY2029</x:v>
      </x:c>
      <x:c r="B17" s="39" t="str">
        <x:f>IF('Debt Interest Lease'!E$15&lt;=0.05,"PASS","ERROR")</x:f>
        <x:v>PASS</x:v>
      </x:c>
      <x:c r="C17" s="179" t="n">
        <x:f>'Debt Interest Lease'!E$15</x:f>
        <x:v>0</x:v>
      </x:c>
      <x:c r="D17" s="179" t="n">
        <x:v>0.05</x:v>
      </x:c>
      <x:c r="E17" s="39" t="str">
        <x:v>P0-06</x:v>
      </x:c>
      <x:c r="F17" s="39"/>
      <x:c r="G17" s="39"/>
      <x:c r="H17" s="39"/>
    </x:row>
    <x:row r="18">
      <x:c r="A18" s="39" t="str">
        <x:v>Balance sheet — FY2030</x:v>
      </x:c>
      <x:c r="B18" s="39" t="str">
        <x:f>IF(ABS('Consolidated Balance Sheet'!F$25)&lt;=0.05,"PASS","ERROR")</x:f>
        <x:v>PASS</x:v>
      </x:c>
      <x:c r="C18" s="179" t="n">
        <x:f>'Consolidated Balance Sheet'!F$25</x:f>
        <x:v>0</x:v>
      </x:c>
      <x:c r="D18" s="179" t="n">
        <x:v>0.05</x:v>
      </x:c>
      <x:c r="E18" s="39" t="str">
        <x:v>P0-01</x:v>
      </x:c>
      <x:c r="F18" s="39"/>
      <x:c r="G18" s="39"/>
      <x:c r="H18" s="39"/>
    </x:row>
    <x:row r="19">
      <x:c r="A19" s="39" t="str">
        <x:v>Cash flow — FY2030</x:v>
      </x:c>
      <x:c r="B19" s="39" t="str">
        <x:f>IF(ABS('Consolidated Cash Flow'!F$26)&lt;=0.05,"PASS","ERROR")</x:f>
        <x:v>PASS</x:v>
      </x:c>
      <x:c r="C19" s="179" t="n">
        <x:f>'Consolidated Cash Flow'!F$26</x:f>
        <x:v>0</x:v>
      </x:c>
      <x:c r="D19" s="179" t="n">
        <x:v>0.05</x:v>
      </x:c>
      <x:c r="E19" s="39" t="str">
        <x:v>P0-06</x:v>
      </x:c>
      <x:c r="F19" s="39"/>
      <x:c r="G19" s="39"/>
      <x:c r="H19" s="39"/>
    </x:row>
    <x:row r="20">
      <x:c r="A20" s="39" t="str">
        <x:v>Funding capacity — FY2030</x:v>
      </x:c>
      <x:c r="B20" s="39" t="str">
        <x:f>IF('Debt Interest Lease'!F$15&lt;=0.05,"PASS","ERROR")</x:f>
        <x:v>PASS</x:v>
      </x:c>
      <x:c r="C20" s="179" t="n">
        <x:f>'Debt Interest Lease'!F$15</x:f>
        <x:v>0</x:v>
      </x:c>
      <x:c r="D20" s="179" t="n">
        <x:v>0.05</x:v>
      </x:c>
      <x:c r="E20" s="39" t="str">
        <x:v>P0-06</x:v>
      </x:c>
      <x:c r="F20" s="39"/>
      <x:c r="G20" s="39"/>
      <x:c r="H20" s="39"/>
    </x:row>
    <x:row r="21">
      <x:c r="A21" s="39" t="str">
        <x:v>Independent balance sheet reconciliation</x:v>
      </x:c>
      <x:c r="B21" s="39" t="str">
        <x:v>PASS</x:v>
      </x:c>
      <x:c r="C21" s="179" t="n">
        <x:v>3.637978807091713e-12</x:v>
      </x:c>
      <x:c r="D21" s="179" t="n">
        <x:v>0.05</x:v>
      </x:c>
      <x:c r="E21" s="39" t="str">
        <x:v>P0-01</x:v>
      </x:c>
      <x:c r="F21" s="39"/>
      <x:c r="G21" s="39"/>
      <x:c r="H21" s="39"/>
    </x:row>
    <x:row r="22">
      <x:c r="A22" s="39" t="str">
        <x:v>Cash flow rollforward</x:v>
      </x:c>
      <x:c r="B22" s="39" t="str">
        <x:v>PASS</x:v>
      </x:c>
      <x:c r="C22" s="179" t="n">
        <x:v>6.821210263296962e-13</x:v>
      </x:c>
      <x:c r="D22" s="179" t="n">
        <x:v>0.05</x:v>
      </x:c>
      <x:c r="E22" s="39" t="str">
        <x:v>P0-06</x:v>
      </x:c>
      <x:c r="F22" s="39"/>
      <x:c r="G22" s="39"/>
      <x:c r="H22" s="39"/>
    </x:row>
    <x:row r="23">
      <x:c r="A23" s="39" t="str">
        <x:v>Equity rollforward</x:v>
      </x:c>
      <x:c r="B23" s="39" t="str">
        <x:v>PASS</x:v>
      </x:c>
      <x:c r="C23" s="179" t="n">
        <x:v>4.547473508864641e-13</x:v>
      </x:c>
      <x:c r="D23" s="179" t="n">
        <x:v>0.05</x:v>
      </x:c>
      <x:c r="E23" s="39" t="str">
        <x:v>P0-01</x:v>
      </x:c>
      <x:c r="F23" s="39"/>
      <x:c r="G23" s="39"/>
      <x:c r="H23" s="39"/>
    </x:row>
    <x:row r="24">
      <x:c r="A24" s="39" t="str">
        <x:v>ASC 842 lease rollforward</x:v>
      </x:c>
      <x:c r="B24" s="39" t="str">
        <x:v>PASS</x:v>
      </x:c>
      <x:c r="C24" s="179" t="n">
        <x:v>3.410605131648481e-13</x:v>
      </x:c>
      <x:c r="D24" s="179" t="n">
        <x:v>0.05</x:v>
      </x:c>
      <x:c r="E24" s="39" t="str">
        <x:v>P0-03</x:v>
      </x:c>
      <x:c r="F24" s="39"/>
      <x:c r="G24" s="39"/>
      <x:c r="H24" s="39"/>
    </x:row>
    <x:row r="25">
      <x:c r="A25" s="39" t="str">
        <x:v>Foot Locker cohorts reconcile to segment</x:v>
      </x:c>
      <x:c r="B25" s="39" t="str">
        <x:v>PASS</x:v>
      </x:c>
      <x:c r="C25" s="179" t="n">
        <x:v>0</x:v>
      </x:c>
      <x:c r="D25" s="179" t="n">
        <x:v>0.05</x:v>
      </x:c>
      <x:c r="E25" s="39" t="str">
        <x:v>P0-04</x:v>
      </x:c>
      <x:c r="F25" s="39"/>
      <x:c r="G25" s="39"/>
      <x:c r="H25" s="39"/>
    </x:row>
    <x:row r="26">
      <x:c r="A26" s="39" t="str">
        <x:v>Financing capacity</x:v>
      </x:c>
      <x:c r="B26" s="39" t="str">
        <x:v>PASS</x:v>
      </x:c>
      <x:c r="C26" s="179" t="n">
        <x:v>0</x:v>
      </x:c>
      <x:c r="D26" s="179" t="n">
        <x:v>0.05</x:v>
      </x:c>
      <x:c r="E26" s="39" t="str">
        <x:v>P0-06</x:v>
      </x:c>
      <x:c r="F26" s="39"/>
      <x:c r="G26" s="39"/>
      <x:c r="H26" s="39"/>
    </x:row>
    <x:row r="27">
      <x:c r="A27" s="39" t="str">
        <x:v>Valuation-date EV-to-equity bridge</x:v>
      </x:c>
      <x:c r="B27" s="39" t="str">
        <x:v>PASS</x:v>
      </x:c>
      <x:c r="C27" s="179"/>
      <x:c r="D27" s="179"/>
      <x:c r="E27" s="39" t="str">
        <x:v>P0-02</x:v>
      </x:c>
      <x:c r="F27" s="39"/>
      <x:c r="G27" s="39"/>
      <x:c r="H27" s="39"/>
    </x:row>
    <x:row r="28">
      <x:c r="A28" s="39" t="str">
        <x:v>Scenario probabilities</x:v>
      </x:c>
      <x:c r="B28" s="39" t="str">
        <x:v>PASS</x:v>
      </x:c>
      <x:c r="C28" s="179" t="n">
        <x:v>0</x:v>
      </x:c>
      <x:c r="D28" s="179" t="n">
        <x:v>1e-9</x:v>
      </x:c>
      <x:c r="E28" s="39" t="str">
        <x:v>P2-03</x:v>
      </x:c>
      <x:c r="F28" s="39"/>
      <x:c r="G28" s="39"/>
      <x:c r="H28" s="39"/>
    </x:row>
    <x:row r="29">
      <x:c r="A29" s="39" t="str">
        <x:v>Zero-shock sensitivity equals base DCF</x:v>
      </x:c>
      <x:c r="B29" s="39" t="str">
        <x:v>PASS</x:v>
      </x:c>
      <x:c r="C29" s="179" t="n">
        <x:v>0</x:v>
      </x:c>
      <x:c r="D29" s="179" t="n">
        <x:v>0.01</x:v>
      </x:c>
      <x:c r="E29" s="39" t="str">
        <x:v>P1-08</x:v>
      </x:c>
      <x:c r="F29" s="39"/>
      <x:c r="G29" s="39"/>
      <x:c r="H29" s="39"/>
    </x:row>
    <x:row r="30">
      <x:c r="A30" s="39" t="str">
        <x:v>Reverse DCF repricing</x:v>
      </x:c>
      <x:c r="B30" s="39" t="str">
        <x:v>WARNING</x:v>
      </x:c>
      <x:c r="C30" s="179"/>
      <x:c r="D30" s="179" t="n">
        <x:v>0.01</x:v>
      </x:c>
      <x:c r="E30" s="39" t="str">
        <x:v>P1-08</x:v>
      </x:c>
      <x:c r="F30" s="39"/>
      <x:c r="G30" s="39"/>
      <x:c r="H30" s="39"/>
    </x:row>
    <x:row r="31">
      <x:c r="A31" s="39" t="str">
        <x:v>Required source metadata</x:v>
      </x:c>
      <x:c r="B31" s="39" t="str">
        <x:v>PASS</x:v>
      </x:c>
      <x:c r="C31" s="179"/>
      <x:c r="D31" s="179"/>
      <x:c r="E31" s="39" t="str">
        <x:v>P2-04</x:v>
      </x:c>
      <x:c r="F31" s="39"/>
      <x:c r="G31" s="39"/>
      <x:c r="H31" s="39"/>
    </x:row>
    <x:row r="32">
      <x:c r="A32" s="39" t="str">
        <x:v>Sourced company-data model</x:v>
      </x:c>
      <x:c r="B32" s="39" t="str">
        <x:v>BLOCKED</x:v>
      </x:c>
      <x:c r="C32" s="179"/>
      <x:c r="D32" s="179"/>
      <x:c r="E32" s="39" t="str">
        <x:v>P0-05</x:v>
      </x:c>
      <x:c r="F32" s="39"/>
      <x:c r="G32" s="39"/>
      <x:c r="H32" s="39"/>
    </x:row>
    <x:row r="33">
      <x:c r="A33" s="39" t="str">
        <x:v>Licensed consensus</x:v>
      </x:c>
      <x:c r="B33" s="39" t="str">
        <x:v>WARNING</x:v>
      </x:c>
      <x:c r="C33" s="179"/>
      <x:c r="D33" s="179"/>
      <x:c r="E33" s="39" t="str">
        <x:v>P1-07</x:v>
      </x:c>
      <x:c r="F33" s="39"/>
      <x:c r="G33" s="39"/>
      <x:c r="H33" s="39"/>
    </x:row>
    <x:row r="34">
      <x:c r="A34" s="39" t="str">
        <x:v>Point-in-time backtesting</x:v>
      </x:c>
      <x:c r="B34" s="39" t="str">
        <x:v>BLOCKED</x:v>
      </x:c>
      <x:c r="C34" s="179"/>
      <x:c r="D34" s="179"/>
      <x:c r="E34" s="39" t="str">
        <x:v>P2-02</x:v>
      </x:c>
      <x:c r="F34" s="39"/>
      <x:c r="G34" s="39"/>
      <x:c r="H34" s="39"/>
    </x:row>
  </x:sheetData>
  <x:conditionalFormatting sqref="B6:B34">
    <x:cfRule type="expression" dxfId="1" priority="1">
      <x:formula>B6="ERROR"</x:formula>
    </x:cfRule>
    <x:cfRule type="expression" dxfId="2" priority="2">
      <x:formula>B6="BLOCKED"</x:formula>
    </x:cfRule>
  </x:conditionalFormatting>
  <x:pageMargins left="0.7" right="0.7" top="0.75" bottom="0.75" header="0.3" footer="0.3"/>
</x:worksheet>
</file>